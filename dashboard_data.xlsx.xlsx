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HTML-\"/>
    </mc:Choice>
  </mc:AlternateContent>
  <xr:revisionPtr revIDLastSave="0" documentId="13_ncr:1_{09E9B708-9299-401A-A09C-186AC5F3F6B0}" xr6:coauthVersionLast="47" xr6:coauthVersionMax="47" xr10:uidLastSave="{00000000-0000-0000-0000-000000000000}"/>
  <bookViews>
    <workbookView xWindow="-98" yWindow="-98" windowWidth="21795" windowHeight="12975" tabRatio="785" activeTab="2" xr2:uid="{00000000-000D-0000-FFFF-FFFF00000000}"/>
  </bookViews>
  <sheets>
    <sheet name="Dashboard" sheetId="6" r:id="rId1"/>
    <sheet name="بنك الضمان " sheetId="8" r:id="rId2"/>
    <sheet name="العملاء والوحدات" sheetId="2" r:id="rId3"/>
    <sheet name="توزيع التحصيل " sheetId="7" r:id="rId4"/>
    <sheet name="التكاليف والمصروفات" sheetId="3" state="hidden" r:id="rId5"/>
    <sheet name="الدفعات والتحصيل" sheetId="4" r:id="rId6"/>
    <sheet name="الإيرادات المعترف بها" sheetId="5" state="hidden" r:id="rId7"/>
    <sheet name="بيانات اساسية 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2" l="1"/>
  <c r="K37" i="2"/>
  <c r="M37" i="2"/>
  <c r="N37" i="2"/>
  <c r="O37" i="2"/>
  <c r="P37" i="2"/>
  <c r="R37" i="2"/>
  <c r="T37" i="2"/>
  <c r="V37" i="2"/>
  <c r="W37" i="2"/>
  <c r="J2" i="2"/>
  <c r="X2" i="2"/>
  <c r="F11" i="6"/>
  <c r="F12" i="6"/>
  <c r="C69" i="8"/>
  <c r="C68" i="8"/>
  <c r="C67" i="8"/>
  <c r="H12" i="6" s="1"/>
  <c r="C14" i="6"/>
  <c r="G14" i="6"/>
  <c r="X37" i="2" l="1"/>
  <c r="Y37" i="2"/>
  <c r="V2" i="2"/>
  <c r="L2" i="2"/>
  <c r="F14" i="6"/>
  <c r="F13" i="6"/>
  <c r="H13" i="6" s="1"/>
  <c r="C25" i="6"/>
  <c r="C24" i="6"/>
  <c r="Z37" i="2" l="1"/>
  <c r="AA37" i="2" s="1"/>
  <c r="H11" i="6"/>
  <c r="H14" i="6" s="1"/>
  <c r="R5" i="6" s="1"/>
  <c r="D4" i="4"/>
  <c r="J18" i="2" s="1"/>
  <c r="D3" i="4"/>
  <c r="J15" i="2" s="1"/>
  <c r="N51" i="2"/>
  <c r="Y42" i="2"/>
  <c r="Y41" i="2"/>
  <c r="Y40" i="2"/>
  <c r="Y39" i="2"/>
  <c r="Y38" i="2"/>
  <c r="Y36" i="2"/>
  <c r="Y35" i="2"/>
  <c r="Y34" i="2"/>
  <c r="Y33" i="2"/>
  <c r="Y32" i="2"/>
  <c r="Y31" i="2"/>
  <c r="Y30" i="2"/>
  <c r="Y28" i="2"/>
  <c r="Y27" i="2"/>
  <c r="Y26" i="2"/>
  <c r="Y25" i="2"/>
  <c r="Y24" i="2"/>
  <c r="Y23" i="2"/>
  <c r="Y22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X42" i="2"/>
  <c r="X41" i="2"/>
  <c r="X40" i="2"/>
  <c r="X39" i="2"/>
  <c r="X38" i="2"/>
  <c r="X36" i="2"/>
  <c r="X35" i="2"/>
  <c r="X34" i="2"/>
  <c r="X33" i="2"/>
  <c r="X32" i="2"/>
  <c r="X31" i="2"/>
  <c r="X30" i="2"/>
  <c r="X28" i="2"/>
  <c r="X27" i="2"/>
  <c r="X26" i="2"/>
  <c r="X25" i="2"/>
  <c r="X24" i="2"/>
  <c r="X23" i="2"/>
  <c r="X22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W42" i="2"/>
  <c r="W41" i="2"/>
  <c r="W40" i="2"/>
  <c r="W39" i="2"/>
  <c r="W38" i="2"/>
  <c r="W36" i="2"/>
  <c r="W35" i="2"/>
  <c r="W34" i="2"/>
  <c r="W33" i="2"/>
  <c r="W32" i="2"/>
  <c r="W31" i="2"/>
  <c r="W30" i="2"/>
  <c r="W28" i="2"/>
  <c r="W27" i="2"/>
  <c r="W26" i="2"/>
  <c r="W25" i="2"/>
  <c r="W24" i="2"/>
  <c r="W23" i="2"/>
  <c r="W2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" i="2"/>
  <c r="B43" i="2"/>
  <c r="C11" i="6" s="1"/>
  <c r="C12" i="6" s="1"/>
  <c r="Q43" i="2"/>
  <c r="F23" i="6" s="1"/>
  <c r="M2" i="2"/>
  <c r="N2" i="2" s="1"/>
  <c r="M3" i="2"/>
  <c r="N3" i="2" s="1"/>
  <c r="O3" i="2" s="1"/>
  <c r="P3" i="2" s="1"/>
  <c r="R3" i="2" s="1"/>
  <c r="M4" i="2"/>
  <c r="N4" i="2" s="1"/>
  <c r="O4" i="2" s="1"/>
  <c r="P4" i="2" s="1"/>
  <c r="R4" i="2" s="1"/>
  <c r="T4" i="2" s="1"/>
  <c r="M5" i="2"/>
  <c r="N5" i="2" s="1"/>
  <c r="O5" i="2" s="1"/>
  <c r="P5" i="2" s="1"/>
  <c r="R5" i="2" s="1"/>
  <c r="M6" i="2"/>
  <c r="N6" i="2" s="1"/>
  <c r="O6" i="2" s="1"/>
  <c r="P6" i="2" s="1"/>
  <c r="R6" i="2" s="1"/>
  <c r="T6" i="2" s="1"/>
  <c r="M7" i="2"/>
  <c r="N7" i="2" s="1"/>
  <c r="O7" i="2" s="1"/>
  <c r="P7" i="2" s="1"/>
  <c r="R7" i="2" s="1"/>
  <c r="T7" i="2" s="1"/>
  <c r="M8" i="2"/>
  <c r="N8" i="2" s="1"/>
  <c r="O8" i="2" s="1"/>
  <c r="P8" i="2" s="1"/>
  <c r="R8" i="2" s="1"/>
  <c r="T8" i="2" s="1"/>
  <c r="M9" i="2"/>
  <c r="N9" i="2" s="1"/>
  <c r="O9" i="2" s="1"/>
  <c r="P9" i="2" s="1"/>
  <c r="R9" i="2" s="1"/>
  <c r="T9" i="2" s="1"/>
  <c r="M10" i="2"/>
  <c r="N10" i="2" s="1"/>
  <c r="O10" i="2" s="1"/>
  <c r="P10" i="2" s="1"/>
  <c r="R10" i="2" s="1"/>
  <c r="T10" i="2" s="1"/>
  <c r="M11" i="2"/>
  <c r="N11" i="2" s="1"/>
  <c r="O11" i="2" s="1"/>
  <c r="P11" i="2" s="1"/>
  <c r="R11" i="2" s="1"/>
  <c r="T11" i="2" s="1"/>
  <c r="M12" i="2"/>
  <c r="N12" i="2" s="1"/>
  <c r="O12" i="2" s="1"/>
  <c r="P12" i="2" s="1"/>
  <c r="R12" i="2" s="1"/>
  <c r="M13" i="2"/>
  <c r="N13" i="2" s="1"/>
  <c r="O13" i="2" s="1"/>
  <c r="P13" i="2" s="1"/>
  <c r="R13" i="2" s="1"/>
  <c r="M14" i="2"/>
  <c r="N14" i="2" s="1"/>
  <c r="O14" i="2" s="1"/>
  <c r="P14" i="2" s="1"/>
  <c r="R14" i="2" s="1"/>
  <c r="T14" i="2" s="1"/>
  <c r="M15" i="2"/>
  <c r="N15" i="2" s="1"/>
  <c r="O15" i="2" s="1"/>
  <c r="P15" i="2" s="1"/>
  <c r="R15" i="2" s="1"/>
  <c r="S15" i="2" s="1"/>
  <c r="M16" i="2"/>
  <c r="N16" i="2" s="1"/>
  <c r="O16" i="2" s="1"/>
  <c r="P16" i="2" s="1"/>
  <c r="R16" i="2" s="1"/>
  <c r="M17" i="2"/>
  <c r="N17" i="2" s="1"/>
  <c r="O17" i="2" s="1"/>
  <c r="P17" i="2" s="1"/>
  <c r="R17" i="2" s="1"/>
  <c r="T17" i="2" s="1"/>
  <c r="M18" i="2"/>
  <c r="N18" i="2" s="1"/>
  <c r="O18" i="2" s="1"/>
  <c r="P18" i="2" s="1"/>
  <c r="R18" i="2" s="1"/>
  <c r="M19" i="2"/>
  <c r="N19" i="2" s="1"/>
  <c r="O19" i="2" s="1"/>
  <c r="P19" i="2" s="1"/>
  <c r="R19" i="2" s="1"/>
  <c r="M20" i="2"/>
  <c r="N20" i="2" s="1"/>
  <c r="O20" i="2" s="1"/>
  <c r="P20" i="2" s="1"/>
  <c r="R20" i="2" s="1"/>
  <c r="T20" i="2" s="1"/>
  <c r="M21" i="2"/>
  <c r="N21" i="2" s="1"/>
  <c r="O21" i="2" s="1"/>
  <c r="P21" i="2" s="1"/>
  <c r="R21" i="2" s="1"/>
  <c r="T21" i="2" s="1"/>
  <c r="M22" i="2"/>
  <c r="N22" i="2" s="1"/>
  <c r="O22" i="2" s="1"/>
  <c r="P22" i="2" s="1"/>
  <c r="R22" i="2" s="1"/>
  <c r="T22" i="2" s="1"/>
  <c r="M23" i="2"/>
  <c r="N23" i="2" s="1"/>
  <c r="O23" i="2" s="1"/>
  <c r="P23" i="2" s="1"/>
  <c r="R23" i="2" s="1"/>
  <c r="T23" i="2" s="1"/>
  <c r="M24" i="2"/>
  <c r="N24" i="2" s="1"/>
  <c r="O24" i="2" s="1"/>
  <c r="P24" i="2" s="1"/>
  <c r="R24" i="2" s="1"/>
  <c r="T24" i="2" s="1"/>
  <c r="M25" i="2"/>
  <c r="N25" i="2" s="1"/>
  <c r="O25" i="2" s="1"/>
  <c r="P25" i="2" s="1"/>
  <c r="R25" i="2" s="1"/>
  <c r="T25" i="2" s="1"/>
  <c r="M26" i="2"/>
  <c r="N26" i="2" s="1"/>
  <c r="O26" i="2" s="1"/>
  <c r="P26" i="2" s="1"/>
  <c r="R26" i="2" s="1"/>
  <c r="M27" i="2"/>
  <c r="N27" i="2" s="1"/>
  <c r="O27" i="2" s="1"/>
  <c r="P27" i="2" s="1"/>
  <c r="R27" i="2" s="1"/>
  <c r="S27" i="2" s="1"/>
  <c r="M28" i="2"/>
  <c r="N28" i="2" s="1"/>
  <c r="O28" i="2" s="1"/>
  <c r="P28" i="2" s="1"/>
  <c r="R28" i="2" s="1"/>
  <c r="T28" i="2" s="1"/>
  <c r="M29" i="2"/>
  <c r="N29" i="2" s="1"/>
  <c r="O29" i="2" s="1"/>
  <c r="P29" i="2" s="1"/>
  <c r="R29" i="2" s="1"/>
  <c r="M30" i="2"/>
  <c r="N30" i="2" s="1"/>
  <c r="O30" i="2" s="1"/>
  <c r="P30" i="2" s="1"/>
  <c r="R30" i="2" s="1"/>
  <c r="T30" i="2" s="1"/>
  <c r="M31" i="2"/>
  <c r="N31" i="2" s="1"/>
  <c r="O31" i="2" s="1"/>
  <c r="P31" i="2" s="1"/>
  <c r="R31" i="2" s="1"/>
  <c r="M32" i="2"/>
  <c r="N32" i="2" s="1"/>
  <c r="O32" i="2" s="1"/>
  <c r="P32" i="2" s="1"/>
  <c r="R32" i="2" s="1"/>
  <c r="M33" i="2"/>
  <c r="N33" i="2" s="1"/>
  <c r="O33" i="2" s="1"/>
  <c r="P33" i="2" s="1"/>
  <c r="R33" i="2" s="1"/>
  <c r="T33" i="2" s="1"/>
  <c r="M34" i="2"/>
  <c r="N34" i="2" s="1"/>
  <c r="O34" i="2" s="1"/>
  <c r="P34" i="2" s="1"/>
  <c r="R34" i="2" s="1"/>
  <c r="M35" i="2"/>
  <c r="N35" i="2" s="1"/>
  <c r="O35" i="2" s="1"/>
  <c r="P35" i="2" s="1"/>
  <c r="R35" i="2" s="1"/>
  <c r="T35" i="2" s="1"/>
  <c r="M36" i="2"/>
  <c r="N36" i="2" s="1"/>
  <c r="O36" i="2" s="1"/>
  <c r="P36" i="2" s="1"/>
  <c r="R36" i="2" s="1"/>
  <c r="T36" i="2" s="1"/>
  <c r="M38" i="2"/>
  <c r="N38" i="2" s="1"/>
  <c r="O38" i="2" s="1"/>
  <c r="P38" i="2" s="1"/>
  <c r="R38" i="2" s="1"/>
  <c r="T38" i="2" s="1"/>
  <c r="M39" i="2"/>
  <c r="N39" i="2" s="1"/>
  <c r="O39" i="2" s="1"/>
  <c r="P39" i="2" s="1"/>
  <c r="R39" i="2" s="1"/>
  <c r="T39" i="2" s="1"/>
  <c r="M40" i="2"/>
  <c r="N40" i="2" s="1"/>
  <c r="O40" i="2" s="1"/>
  <c r="P40" i="2" s="1"/>
  <c r="R40" i="2" s="1"/>
  <c r="T40" i="2" s="1"/>
  <c r="M41" i="2"/>
  <c r="N41" i="2" s="1"/>
  <c r="O41" i="2" s="1"/>
  <c r="P41" i="2" s="1"/>
  <c r="R41" i="2" s="1"/>
  <c r="T41" i="2" s="1"/>
  <c r="M42" i="2"/>
  <c r="N42" i="2" s="1"/>
  <c r="O42" i="2" s="1"/>
  <c r="P42" i="2" s="1"/>
  <c r="R42" i="2" s="1"/>
  <c r="T42" i="2" s="1"/>
  <c r="I43" i="2"/>
  <c r="G43" i="2"/>
  <c r="A3" i="7" s="1"/>
  <c r="J3" i="2"/>
  <c r="L3" i="2" s="1"/>
  <c r="J4" i="2"/>
  <c r="K4" i="2" s="1"/>
  <c r="J5" i="2"/>
  <c r="V5" i="2" s="1"/>
  <c r="K6" i="2"/>
  <c r="L7" i="2"/>
  <c r="L8" i="2"/>
  <c r="K9" i="2"/>
  <c r="V10" i="2"/>
  <c r="J11" i="2"/>
  <c r="L11" i="2" s="1"/>
  <c r="J12" i="2"/>
  <c r="K12" i="2" s="1"/>
  <c r="J13" i="2"/>
  <c r="L13" i="2" s="1"/>
  <c r="L14" i="2"/>
  <c r="J16" i="2"/>
  <c r="L16" i="2" s="1"/>
  <c r="J17" i="2"/>
  <c r="L17" i="2" s="1"/>
  <c r="J19" i="2"/>
  <c r="V19" i="2" s="1"/>
  <c r="K20" i="2"/>
  <c r="J21" i="2"/>
  <c r="L21" i="2" s="1"/>
  <c r="J22" i="2"/>
  <c r="K22" i="2" s="1"/>
  <c r="L23" i="2"/>
  <c r="J24" i="2"/>
  <c r="L24" i="2" s="1"/>
  <c r="J25" i="2"/>
  <c r="L25" i="2" s="1"/>
  <c r="J26" i="2"/>
  <c r="L26" i="2" s="1"/>
  <c r="J27" i="2"/>
  <c r="V27" i="2" s="1"/>
  <c r="K28" i="2"/>
  <c r="J29" i="2"/>
  <c r="K29" i="2" s="1"/>
  <c r="L30" i="2"/>
  <c r="J31" i="2"/>
  <c r="L31" i="2" s="1"/>
  <c r="J32" i="2"/>
  <c r="L32" i="2" s="1"/>
  <c r="V33" i="2"/>
  <c r="J34" i="2"/>
  <c r="L34" i="2" s="1"/>
  <c r="J35" i="2"/>
  <c r="V35" i="2" s="1"/>
  <c r="J36" i="2"/>
  <c r="V36" i="2" s="1"/>
  <c r="J38" i="2"/>
  <c r="V38" i="2" s="1"/>
  <c r="J39" i="2"/>
  <c r="L39" i="2" s="1"/>
  <c r="J40" i="2"/>
  <c r="K40" i="2" s="1"/>
  <c r="J41" i="2"/>
  <c r="V41" i="2" s="1"/>
  <c r="J42" i="2"/>
  <c r="K42" i="2" s="1"/>
  <c r="Z2" i="2" l="1"/>
  <c r="AA2" i="2" s="1"/>
  <c r="V4" i="2"/>
  <c r="Z4" i="2" s="1"/>
  <c r="AA4" i="2" s="1"/>
  <c r="X43" i="2"/>
  <c r="F3" i="7" s="1"/>
  <c r="F5" i="7" s="1"/>
  <c r="Y43" i="2"/>
  <c r="G3" i="7" s="1"/>
  <c r="G6" i="7" s="1"/>
  <c r="K17" i="2"/>
  <c r="L4" i="2"/>
  <c r="Z27" i="2"/>
  <c r="AA27" i="2" s="1"/>
  <c r="W43" i="2"/>
  <c r="E3" i="7" s="1"/>
  <c r="E7" i="7" s="1"/>
  <c r="V17" i="2"/>
  <c r="Z17" i="2" s="1"/>
  <c r="AA17" i="2" s="1"/>
  <c r="L42" i="2"/>
  <c r="K3" i="2"/>
  <c r="V3" i="2"/>
  <c r="Z3" i="2" s="1"/>
  <c r="AA3" i="2" s="1"/>
  <c r="S32" i="2"/>
  <c r="T32" i="2" s="1"/>
  <c r="Z36" i="2"/>
  <c r="AA36" i="2" s="1"/>
  <c r="C13" i="6"/>
  <c r="Z5" i="2"/>
  <c r="AA5" i="2" s="1"/>
  <c r="T27" i="2"/>
  <c r="M43" i="2"/>
  <c r="K16" i="2"/>
  <c r="Z38" i="2"/>
  <c r="AA38" i="2" s="1"/>
  <c r="S18" i="2"/>
  <c r="T18" i="2" s="1"/>
  <c r="S19" i="2"/>
  <c r="T19" i="2" s="1"/>
  <c r="S31" i="2"/>
  <c r="T31" i="2" s="1"/>
  <c r="S5" i="2"/>
  <c r="T5" i="2" s="1"/>
  <c r="S16" i="2"/>
  <c r="T16" i="2" s="1"/>
  <c r="S34" i="2"/>
  <c r="T34" i="2" s="1"/>
  <c r="S3" i="2"/>
  <c r="T3" i="2" s="1"/>
  <c r="S29" i="2"/>
  <c r="T29" i="2" s="1"/>
  <c r="S12" i="2"/>
  <c r="T12" i="2" s="1"/>
  <c r="S13" i="2"/>
  <c r="T13" i="2" s="1"/>
  <c r="S26" i="2"/>
  <c r="T26" i="2" s="1"/>
  <c r="O2" i="2"/>
  <c r="N43" i="2"/>
  <c r="F22" i="6" s="1"/>
  <c r="F25" i="6" s="1"/>
  <c r="Z33" i="2"/>
  <c r="AA33" i="2" s="1"/>
  <c r="Z10" i="2"/>
  <c r="AA10" i="2" s="1"/>
  <c r="Z19" i="2"/>
  <c r="AA19" i="2" s="1"/>
  <c r="T15" i="2"/>
  <c r="Z35" i="2"/>
  <c r="AA35" i="2" s="1"/>
  <c r="Z41" i="2"/>
  <c r="AA41" i="2" s="1"/>
  <c r="V32" i="2"/>
  <c r="Z32" i="2" s="1"/>
  <c r="AA32" i="2" s="1"/>
  <c r="K7" i="2"/>
  <c r="K41" i="2"/>
  <c r="L41" i="2"/>
  <c r="V28" i="2"/>
  <c r="Z28" i="2" s="1"/>
  <c r="AA28" i="2" s="1"/>
  <c r="V16" i="2"/>
  <c r="Z16" i="2" s="1"/>
  <c r="AA16" i="2" s="1"/>
  <c r="L28" i="2"/>
  <c r="V14" i="2"/>
  <c r="Z14" i="2" s="1"/>
  <c r="AA14" i="2" s="1"/>
  <c r="V8" i="2"/>
  <c r="Z8" i="2" s="1"/>
  <c r="AA8" i="2" s="1"/>
  <c r="K32" i="2"/>
  <c r="V9" i="2"/>
  <c r="Z9" i="2" s="1"/>
  <c r="AA9" i="2" s="1"/>
  <c r="V7" i="2"/>
  <c r="Z7" i="2" s="1"/>
  <c r="AA7" i="2" s="1"/>
  <c r="V15" i="2"/>
  <c r="Z15" i="2" s="1"/>
  <c r="AA15" i="2" s="1"/>
  <c r="L15" i="2"/>
  <c r="L19" i="2"/>
  <c r="V31" i="2"/>
  <c r="Z31" i="2" s="1"/>
  <c r="AA31" i="2" s="1"/>
  <c r="K27" i="2"/>
  <c r="L40" i="2"/>
  <c r="L35" i="2"/>
  <c r="L27" i="2"/>
  <c r="K35" i="2"/>
  <c r="L9" i="2"/>
  <c r="K33" i="2"/>
  <c r="K8" i="2"/>
  <c r="V40" i="2"/>
  <c r="Z40" i="2" s="1"/>
  <c r="AA40" i="2" s="1"/>
  <c r="K36" i="2"/>
  <c r="L33" i="2"/>
  <c r="V20" i="2"/>
  <c r="Z20" i="2" s="1"/>
  <c r="AA20" i="2" s="1"/>
  <c r="K18" i="2"/>
  <c r="L18" i="2"/>
  <c r="K14" i="2"/>
  <c r="V39" i="2"/>
  <c r="Z39" i="2" s="1"/>
  <c r="AA39" i="2" s="1"/>
  <c r="V25" i="2"/>
  <c r="Z25" i="2" s="1"/>
  <c r="AA25" i="2" s="1"/>
  <c r="V24" i="2"/>
  <c r="Z24" i="2" s="1"/>
  <c r="AA24" i="2" s="1"/>
  <c r="Z21" i="2"/>
  <c r="AA21" i="2" s="1"/>
  <c r="D41" i="4"/>
  <c r="D43" i="4" s="1"/>
  <c r="V23" i="2"/>
  <c r="Z23" i="2" s="1"/>
  <c r="AA23" i="2" s="1"/>
  <c r="V26" i="2"/>
  <c r="Z26" i="2" s="1"/>
  <c r="AA26" i="2" s="1"/>
  <c r="K26" i="2"/>
  <c r="K39" i="2"/>
  <c r="K2" i="2"/>
  <c r="L20" i="2"/>
  <c r="V42" i="2"/>
  <c r="Z42" i="2" s="1"/>
  <c r="AA42" i="2" s="1"/>
  <c r="K31" i="2"/>
  <c r="V13" i="2"/>
  <c r="Z13" i="2" s="1"/>
  <c r="AA13" i="2" s="1"/>
  <c r="K30" i="2"/>
  <c r="K38" i="2"/>
  <c r="L29" i="2"/>
  <c r="K21" i="2"/>
  <c r="K11" i="2"/>
  <c r="V11" i="2"/>
  <c r="Z11" i="2" s="1"/>
  <c r="AA11" i="2" s="1"/>
  <c r="K25" i="2"/>
  <c r="K24" i="2"/>
  <c r="K23" i="2"/>
  <c r="K13" i="2"/>
  <c r="L38" i="2"/>
  <c r="K15" i="2"/>
  <c r="L12" i="2"/>
  <c r="L6" i="2"/>
  <c r="V22" i="2"/>
  <c r="Z22" i="2" s="1"/>
  <c r="AA22" i="2" s="1"/>
  <c r="K19" i="2"/>
  <c r="K5" i="2"/>
  <c r="J43" i="2"/>
  <c r="V30" i="2"/>
  <c r="Z30" i="2" s="1"/>
  <c r="AA30" i="2" s="1"/>
  <c r="L36" i="2"/>
  <c r="V6" i="2"/>
  <c r="K10" i="2"/>
  <c r="V18" i="2"/>
  <c r="Z18" i="2" s="1"/>
  <c r="AA18" i="2" s="1"/>
  <c r="V34" i="2"/>
  <c r="Z34" i="2" s="1"/>
  <c r="AA34" i="2" s="1"/>
  <c r="V12" i="2"/>
  <c r="Z12" i="2" s="1"/>
  <c r="AA12" i="2" s="1"/>
  <c r="L10" i="2"/>
  <c r="K34" i="2"/>
  <c r="L22" i="2"/>
  <c r="L5" i="2"/>
  <c r="G7" i="7" l="1"/>
  <c r="G5" i="7"/>
  <c r="F7" i="7"/>
  <c r="F6" i="7"/>
  <c r="E6" i="7"/>
  <c r="E5" i="7"/>
  <c r="P2" i="2"/>
  <c r="O43" i="2"/>
  <c r="L43" i="2"/>
  <c r="V43" i="2"/>
  <c r="D3" i="7" s="1"/>
  <c r="Z6" i="2"/>
  <c r="K44" i="2"/>
  <c r="C3" i="7"/>
  <c r="C5" i="7" s="1"/>
  <c r="C15" i="6"/>
  <c r="G8" i="7" l="1"/>
  <c r="G9" i="7" s="1"/>
  <c r="C16" i="6"/>
  <c r="C17" i="6"/>
  <c r="V46" i="2"/>
  <c r="V50" i="2"/>
  <c r="V49" i="2"/>
  <c r="F8" i="7"/>
  <c r="F9" i="7" s="1"/>
  <c r="E8" i="7"/>
  <c r="E9" i="7" s="1"/>
  <c r="P43" i="2"/>
  <c r="R2" i="2"/>
  <c r="C6" i="7"/>
  <c r="C7" i="7"/>
  <c r="AA6" i="2"/>
  <c r="AA43" i="2" s="1"/>
  <c r="Z43" i="2"/>
  <c r="D5" i="7"/>
  <c r="W45" i="2"/>
  <c r="W46" i="2"/>
  <c r="W44" i="2"/>
  <c r="R43" i="2" l="1"/>
  <c r="S2" i="2"/>
  <c r="S43" i="2" s="1"/>
  <c r="D6" i="7"/>
  <c r="D7" i="7"/>
  <c r="H7" i="7" s="1"/>
  <c r="W47" i="2"/>
  <c r="W48" i="2" s="1"/>
  <c r="C8" i="7"/>
  <c r="C9" i="7" s="1"/>
  <c r="H3" i="7"/>
  <c r="I3" i="7" s="1"/>
  <c r="H6" i="7" l="1"/>
  <c r="T2" i="2"/>
  <c r="T43" i="2" s="1"/>
  <c r="U45" i="2" s="1"/>
  <c r="D8" i="7"/>
  <c r="D9" i="7" s="1"/>
  <c r="H5" i="7"/>
  <c r="H8" i="7" l="1"/>
  <c r="H9" i="7" s="1"/>
</calcChain>
</file>

<file path=xl/sharedStrings.xml><?xml version="1.0" encoding="utf-8"?>
<sst xmlns="http://schemas.openxmlformats.org/spreadsheetml/2006/main" count="640" uniqueCount="348">
  <si>
    <t>اسم المشروع</t>
  </si>
  <si>
    <t>رقم رخصة وافي</t>
  </si>
  <si>
    <t>المدينة</t>
  </si>
  <si>
    <t>تاريخ بداية المشروع</t>
  </si>
  <si>
    <t>مدة المشروع (بالأشهر)</t>
  </si>
  <si>
    <t>نسبة الإنجاز المستهدفة (%)</t>
  </si>
  <si>
    <t>اسم العميل</t>
  </si>
  <si>
    <t>رقم الوحدة</t>
  </si>
  <si>
    <t>تاريخ العقد</t>
  </si>
  <si>
    <t>إجمالي الدفعات المحصلة</t>
  </si>
  <si>
    <t>رقم العملية</t>
  </si>
  <si>
    <t>تاريخ المصروف</t>
  </si>
  <si>
    <t>نوع المصروف</t>
  </si>
  <si>
    <t>المورد</t>
  </si>
  <si>
    <t>مرتبطة بأي مرحلة؟</t>
  </si>
  <si>
    <t>نسبة الإنجاز لهذه المرحلة</t>
  </si>
  <si>
    <t>تم السداد؟ (نعم/لا)</t>
  </si>
  <si>
    <t>تاريخ الدفعة</t>
  </si>
  <si>
    <t>ملاحظات</t>
  </si>
  <si>
    <t>إجمالي سعر البيع</t>
  </si>
  <si>
    <t>نسبة الإنجاز الفعلية</t>
  </si>
  <si>
    <t>الإيراد المعترف به</t>
  </si>
  <si>
    <t>الدفعات المحصلة</t>
  </si>
  <si>
    <t>الفارق (غير معترف به بعد)</t>
  </si>
  <si>
    <t>القيمة</t>
  </si>
  <si>
    <t>عدد الوحدات</t>
  </si>
  <si>
    <t>الرياض</t>
  </si>
  <si>
    <t>الأرضي</t>
  </si>
  <si>
    <t>الأول</t>
  </si>
  <si>
    <t>الثاني</t>
  </si>
  <si>
    <t>العلوي</t>
  </si>
  <si>
    <t xml:space="preserve">المساحة </t>
  </si>
  <si>
    <t>مجلس | 3 غرف | صالة | مطبخ | 3 حمام</t>
  </si>
  <si>
    <t>مجلس | 3 غرف | صالة | مطبخ | 3 حمام | مستودع</t>
  </si>
  <si>
    <t>مجلس | 2 غرف | صالة | مطبخ | 3 حمام</t>
  </si>
  <si>
    <t>مجلس | 2 غرف | صالة | مطبخ | 3 حمام | مستودع</t>
  </si>
  <si>
    <t>09/02/2026</t>
  </si>
  <si>
    <t>10/02/2026</t>
  </si>
  <si>
    <t>14/02/2026</t>
  </si>
  <si>
    <t>15/02/2026</t>
  </si>
  <si>
    <t>16/02/2026</t>
  </si>
  <si>
    <t>19/02/2026</t>
  </si>
  <si>
    <t>20/02/2026</t>
  </si>
  <si>
    <t>حوالة بنكية من مني سعود موسى التميمي عن دفعة من قيمة شقة 12 بمشروع قصر القصور 132</t>
  </si>
  <si>
    <t>حوالة بنكية من -بندر عبدالله العقل عن دفعة من قيمة شقتين رقم 14 و 17  بمشروع قصر القصور 132</t>
  </si>
  <si>
    <t>حوالة بنكية من ماجد محمد عبدالله المطوع عن دفعة من قيمة شقة 18 بمشروع قصر القصور 132</t>
  </si>
  <si>
    <t>حوالة بنكية من هيله محمد عبدالله الصعب عن دفعة من قيمة شقة 25 بمشروع قصر القصور 132</t>
  </si>
  <si>
    <t>الدفعة الاولي من احمد سليمان عبدالعزيز الخضيري عن  قيمة شقة 30 بمشروع قصر القصور رقم 132 حي السعادة</t>
  </si>
  <si>
    <t>الدفعة الاولي من احمد سليمان عبدالعزيز الخضيري عن  قيمة شقة 31 بمشروع قصر القصور رقم 132 حي السعادة</t>
  </si>
  <si>
    <t>حوالة بنكية من مني علي سعد الغامدي عن قيمة شقة 28 بمشروع قصر القصور رقم 132 حي السعادة</t>
  </si>
  <si>
    <t>حوالة بنكية من فاطمة بنت علي بن عثمان خرمي عن دفعة من قيمة شقة 3 بمشروع قصر القصور رقم 132 حي السعادة</t>
  </si>
  <si>
    <t>حوالة بنكية من عبدالسلام علي عثمان البراك عن دفعة من قيمة شقة 11 بمشروع قصر القصور رقم 132 حي السعادة</t>
  </si>
  <si>
    <t>الدور</t>
  </si>
  <si>
    <t>مواصفات</t>
  </si>
  <si>
    <t>يزيد فهد راشد المدهش</t>
  </si>
  <si>
    <t xml:space="preserve">العمولة </t>
  </si>
  <si>
    <t xml:space="preserve">المسدد من العمولة </t>
  </si>
  <si>
    <t xml:space="preserve">ضريبة العمولة </t>
  </si>
  <si>
    <t xml:space="preserve">العمولة شاملة الضريبة </t>
  </si>
  <si>
    <t xml:space="preserve">مكافاة البيع </t>
  </si>
  <si>
    <t>العمولة + مكافاة البيع</t>
  </si>
  <si>
    <t>المتبقي من العمولة</t>
  </si>
  <si>
    <t>قيمة الدفعة</t>
  </si>
  <si>
    <t>حوالة بنكية من عبدالرحمن دخيل احمد عن دفعة من قيمة شقة 33 بمشروع قصر القصور رقم 132 حي السعادة</t>
  </si>
  <si>
    <t>حوالة بنكية من محمد ابراهيم محمد الصبيحي عن دفعة من قيمة شقة 34 بمشروع قصر القصور رقم 132 حي السعادة</t>
  </si>
  <si>
    <t>حوالة بنكية من هدي صالح عبدالرحمن القنيطير عن دفعة من  قيمة شقة 2 بمشروع قصر القصور رقم 132 حي السعادة</t>
  </si>
  <si>
    <t>23/02/2026</t>
  </si>
  <si>
    <t>24/02/2026</t>
  </si>
  <si>
    <t xml:space="preserve">البيان </t>
  </si>
  <si>
    <t xml:space="preserve">عدد الوحدات المباعة </t>
  </si>
  <si>
    <t xml:space="preserve">قيمة الوحدة </t>
  </si>
  <si>
    <t xml:space="preserve">نسبة الوحدات المباعة </t>
  </si>
  <si>
    <t>شركة قصر القصور - مشروع السعادة  رقم 132</t>
  </si>
  <si>
    <t xml:space="preserve">توزيع حساب الضمات </t>
  </si>
  <si>
    <t xml:space="preserve">القيمة </t>
  </si>
  <si>
    <t>الاعمال الانشائية بنسبة 76%</t>
  </si>
  <si>
    <t>المصروفات الأخرى 20%</t>
  </si>
  <si>
    <t xml:space="preserve">الإجمالي </t>
  </si>
  <si>
    <t xml:space="preserve">المبلغ </t>
  </si>
  <si>
    <t>البيان</t>
  </si>
  <si>
    <t>تاريخ الحجز</t>
  </si>
  <si>
    <t>نسبة الإنجاز الفعلية المثبته في وافي 1-1-2026</t>
  </si>
  <si>
    <t xml:space="preserve">العمولات على المشروع </t>
  </si>
  <si>
    <t xml:space="preserve">المكافات </t>
  </si>
  <si>
    <t xml:space="preserve">قيمة الوحدة بدون السعي </t>
  </si>
  <si>
    <t>25/02/2026</t>
  </si>
  <si>
    <t>حوالة بنكية من حصة محمد حمود الجربوع عن دفعة من قيمة شقة 15 بمشروع قصر القصور رقم 132 حي السعادة محمولة علي دفعتين 300 الف بتاريخ 24-2-2026 و 19400 بتاريخ 25-2-2026</t>
  </si>
  <si>
    <t>حوالة بنكية من باسل توفيق احمد بو عيد عن دفعة من قيمة شقة 26 بمشروع قصر القصور رقم 132 حي السعادة</t>
  </si>
  <si>
    <t>26/02/2026</t>
  </si>
  <si>
    <t>حوالة بنكية من روعة سعيد حلوة عن دفعة من قيمة شقة 23 بمشروع قصر القصور رقم 132 حي السعادة</t>
  </si>
  <si>
    <t>حوالة بنكية من عبدالرحمن صالح محمد المطلق عن دفعة من قيمة شقة 36 بمشروع قصر القصور رقم 132 حي السعادة</t>
  </si>
  <si>
    <t>حوالة بنكية من مؤيد حسين على الرصاصي &amp; عبدالله توفيق الحميدي عن دفعة من قيمة شقة 4 بمشروع قصر القصور رقم 132 حي السعادة</t>
  </si>
  <si>
    <t>أبو شارب</t>
  </si>
  <si>
    <t xml:space="preserve">حالة توقيع العقد </t>
  </si>
  <si>
    <t xml:space="preserve">حالة العقد </t>
  </si>
  <si>
    <t xml:space="preserve">موقع </t>
  </si>
  <si>
    <t xml:space="preserve">تحت التوقيع </t>
  </si>
  <si>
    <t>نوع الحجز</t>
  </si>
  <si>
    <t xml:space="preserve">كاش -دفعات </t>
  </si>
  <si>
    <t>كاش</t>
  </si>
  <si>
    <t>مدعوم</t>
  </si>
  <si>
    <t xml:space="preserve">حجز من المالك </t>
  </si>
  <si>
    <t xml:space="preserve">بنك </t>
  </si>
  <si>
    <t xml:space="preserve">كاش </t>
  </si>
  <si>
    <t xml:space="preserve">بنك /كاش </t>
  </si>
  <si>
    <t xml:space="preserve">دفعات -كاش </t>
  </si>
  <si>
    <t xml:space="preserve">كاش دفعات </t>
  </si>
  <si>
    <t xml:space="preserve">حجز  من المالك </t>
  </si>
  <si>
    <t xml:space="preserve">بنك غير مدعوم </t>
  </si>
  <si>
    <t>بنك</t>
  </si>
  <si>
    <t xml:space="preserve">بنك مدعوم </t>
  </si>
  <si>
    <t>تحصيل 4-2026 إيصال الى 70%</t>
  </si>
  <si>
    <t>تحصيل 7-2026 إيصال الى 95%</t>
  </si>
  <si>
    <t>تحصيل 6-2026 إيصال الى 85%</t>
  </si>
  <si>
    <t>تحصيل 11-2026 إيصال الى 100%</t>
  </si>
  <si>
    <t>نسبة التحصيل  الفعلي</t>
  </si>
  <si>
    <t>الرصيد المتبقي الفعلي</t>
  </si>
  <si>
    <t>صبا زياد مصطفي</t>
  </si>
  <si>
    <t xml:space="preserve">عبد العزيز فهد  بن سعيدان </t>
  </si>
  <si>
    <t xml:space="preserve">خالد على ال صريمى </t>
  </si>
  <si>
    <t xml:space="preserve">مازن العنزى </t>
  </si>
  <si>
    <t xml:space="preserve">عاصم عبد العزيز الرزقان </t>
  </si>
  <si>
    <t xml:space="preserve">امجاد محمد </t>
  </si>
  <si>
    <t xml:space="preserve">عاصم محمد العمار </t>
  </si>
  <si>
    <t xml:space="preserve">عبد الرحمن دخيل احمد الملحم </t>
  </si>
  <si>
    <t xml:space="preserve">عندليب سعيد حلوة </t>
  </si>
  <si>
    <t xml:space="preserve">روعة  سعيد حلوة </t>
  </si>
  <si>
    <t xml:space="preserve">عبدالعزيز فهد عبدالعزيز  العويدان </t>
  </si>
  <si>
    <t xml:space="preserve">المتبقي </t>
  </si>
  <si>
    <t>اجمالي الوحدة المحصلة</t>
  </si>
  <si>
    <t xml:space="preserve">التحصيل الفعلي </t>
  </si>
  <si>
    <t>تحصيل 70%</t>
  </si>
  <si>
    <t>تحصيل 85%</t>
  </si>
  <si>
    <t>تحصيل 95%</t>
  </si>
  <si>
    <t>تحصيل 100%</t>
  </si>
  <si>
    <t xml:space="preserve">اجمالي الوحدات </t>
  </si>
  <si>
    <t xml:space="preserve">اجمالي التحصيل </t>
  </si>
  <si>
    <t>الفرق</t>
  </si>
  <si>
    <t>نسبة 76% انشائي</t>
  </si>
  <si>
    <t>نسبة 20% متفرق</t>
  </si>
  <si>
    <t>التاريخ المتوقع</t>
  </si>
  <si>
    <t>حوالة بنكية من عبدالرحمن فهد محمد المطوع  عن قيمة شقة 10 بمشروع قصر القصور رقم 132 حي السعادة 30%</t>
  </si>
  <si>
    <t>حوالة بنكية من عبدالرحمن فهد محمد المطوع عن قيمة شقة 21 بمشروع قصر القصور رقم 132 حي السعادة 30%</t>
  </si>
  <si>
    <t>الإجمالي</t>
  </si>
  <si>
    <t>01/03/2026</t>
  </si>
  <si>
    <t>02/03/2026</t>
  </si>
  <si>
    <t>05/03/2026</t>
  </si>
  <si>
    <t>11/03/2026</t>
  </si>
  <si>
    <t>12/03/2026</t>
  </si>
  <si>
    <t>01/04/2026</t>
  </si>
  <si>
    <t>حوالة بنكية من عبدالرحمن فهد محمد المطوع عن قيمة شقة 21 بمشروع قصر القصور رقم 132 حي السعادة</t>
  </si>
  <si>
    <t>حوالة بنكية من عبدالرحمن فهد محمد المطوع  عن قيمة شقة 10 بمشروع قصر القصور رقم 132 حي السعادة</t>
  </si>
  <si>
    <t>حوالة بنكية من بمبلغ 150 الف من ابراهيم سعد عبدالكريم البلم&amp; 100 الف من سعد ابراهيم سعد البلم من قيمة شقة 1 بمشروع قصر القصور رقم 132 حي السعادة</t>
  </si>
  <si>
    <t>حوالة بنكية من صفاء احمد حمدان الغامدي عن دفعة من قيمة شقة 16 بمشروع قصر القصور رقم 132 حي السعادة</t>
  </si>
  <si>
    <t>حوالة بنكية من عندليب سعيد حلوة عن دفعة من قيمة شقة 24 بمشروع قصر القصور رقم 132 حي السعادة</t>
  </si>
  <si>
    <t>حوالة بنكية سعد ابراهيم سعد البلم عن 10% من قيمة شقة 1 بمشروع قصر القصور رقم 132 حي السعادة</t>
  </si>
  <si>
    <t>حوالة بنكية من -بندر عبدالله العقل عن دفعة من قيمة شقتين رقم 14 و 17  بمشروع قصر القصور 133</t>
  </si>
  <si>
    <t>سعد بن إبراهيم بن سعد البلم (نسبه التملك 50%) &amp; ابراهيم بن سعد بن عبدالكريم البلم (نسبه التملك 50%)</t>
  </si>
  <si>
    <t>هدى بنت صالح بن عبدالرحمن القنيطير</t>
  </si>
  <si>
    <t>فاطمه بنت علي بن عثمان خرمي</t>
  </si>
  <si>
    <t xml:space="preserve">عبد الرحمن فهد محمد المطوع </t>
  </si>
  <si>
    <t>عبدالسلام بن علي بن عثمان البراك</t>
  </si>
  <si>
    <t>منى بنت سعود بن موسى آل الرقيب التميمي</t>
  </si>
  <si>
    <t>بندر بن عبدالله بن مطلق  العقل</t>
  </si>
  <si>
    <t>حصه بنت محمد بن حمود الجربوع</t>
  </si>
  <si>
    <t xml:space="preserve"> صفاء بنت احمد بن حمدان الغامدي</t>
  </si>
  <si>
    <t xml:space="preserve">ماجد بن محمد بن عبدالله  المطوع </t>
  </si>
  <si>
    <t xml:space="preserve">هيلة محمد عبدالله الصعب </t>
  </si>
  <si>
    <t xml:space="preserve"> باسل بن توفيق ابن احمد بوعيد</t>
  </si>
  <si>
    <t xml:space="preserve">مني بنت عل  بن سعد ال محيي  الغامدي </t>
  </si>
  <si>
    <t xml:space="preserve">أحمد بن سليمان بن عبدالعزيز الخضيري </t>
  </si>
  <si>
    <t>محمد بن إبراهيم بن محمد الصبيحي</t>
  </si>
  <si>
    <t>عبدالرحمن بن صالح بن محمد المطلق</t>
  </si>
  <si>
    <t xml:space="preserve">عبد الله توفيق عبد الله الحميدى ( نسبة التملك 50% ) &amp; مؤيد بن حسين بن علي الرصاصي (نسبه التملك %50)  </t>
  </si>
  <si>
    <t xml:space="preserve">مروان قطان </t>
  </si>
  <si>
    <t>08/04/2026</t>
  </si>
  <si>
    <t>09/04/2026</t>
  </si>
  <si>
    <t>11/04/2026</t>
  </si>
  <si>
    <t>12/04/2026</t>
  </si>
  <si>
    <t>حوالة بنكية من هدي صالح عبدالرحمن القنيطير عن دفعة 19% من قيمة شقة 2 بمشروع قصر القصور رقم 132 حي السعادة</t>
  </si>
  <si>
    <t>حوالة بنكية من فاطمة بنت علي بن عثمان خرمي عن دفعة 20 % من قيمة شقة 3 بمشروع قصر القصور رقم 132 حي السعادة</t>
  </si>
  <si>
    <t>حوالة بنكية من عبدالرحمن صالح محمد المطلق عن دفعة 20% من قيمة شقة 36 بمشروع قصر القصور رقم 132 حي السعادة</t>
  </si>
  <si>
    <t>الدفعة الثانية من احمد سليمان عبدالعزيز الخضيري عن دفعة 20% من قيمة شقة 31 بمشروع قصر القصور رقم 132 حي السعادة</t>
  </si>
  <si>
    <t>الدفعة الثانية من احمد سليمان عبدالعزيز الخضيري عن دفعة 20% من قيمة شقة 30 بمشروع قصر القصور رقم 132 حي السعادة</t>
  </si>
  <si>
    <t>حوالة بنكية من مني سعود موسى التميمي عن دفعة 20% من قيمة شقة 12 بمشروع قصر القصور 132</t>
  </si>
  <si>
    <t>مطابق</t>
  </si>
  <si>
    <t>حوالة بنكية من هيلة محمد عبدالله الصعب  عن دفعة 20% من قيمة شقة 25 بمشروع قصر القصور 132</t>
  </si>
  <si>
    <t xml:space="preserve">تكاليف المشروع </t>
  </si>
  <si>
    <t xml:space="preserve">التكلفة الفعلية </t>
  </si>
  <si>
    <t xml:space="preserve">المتبقي من تكلفة المشروع </t>
  </si>
  <si>
    <t>التكلفة المرصودة للمشروع  مع الأرض</t>
  </si>
  <si>
    <t xml:space="preserve">نسبة التكلفة الفعلية </t>
  </si>
  <si>
    <t>Account Statement Report</t>
  </si>
  <si>
    <t>Account Number</t>
  </si>
  <si>
    <t>SA5480000504608019900183</t>
  </si>
  <si>
    <t>Account Name</t>
  </si>
  <si>
    <t>قصر القصور مائة واثنان وثلاثون</t>
  </si>
  <si>
    <t>Currency</t>
  </si>
  <si>
    <t>SAR</t>
  </si>
  <si>
    <t>Statement Date</t>
  </si>
  <si>
    <t>Duration</t>
  </si>
  <si>
    <t>01/02/2026 - 13/04/2026</t>
  </si>
  <si>
    <t>Duration Hijra</t>
  </si>
  <si>
    <t>1447/08/13 - 1447/10/25</t>
  </si>
  <si>
    <t>Opening Balance</t>
  </si>
  <si>
    <t>0.00</t>
  </si>
  <si>
    <t>Closing Balance</t>
  </si>
  <si>
    <t>2,210,562.10</t>
  </si>
  <si>
    <t>Date</t>
  </si>
  <si>
    <t>HijiraDate</t>
  </si>
  <si>
    <t>Time</t>
  </si>
  <si>
    <t>Transaction Description</t>
  </si>
  <si>
    <t>Remark</t>
  </si>
  <si>
    <t>Transaction Type</t>
  </si>
  <si>
    <t>Credit</t>
  </si>
  <si>
    <t>Debit</t>
  </si>
  <si>
    <t>Balance</t>
  </si>
  <si>
    <t>Channel Type</t>
  </si>
  <si>
    <t>08/02/2026</t>
  </si>
  <si>
    <t>1447/08/20</t>
  </si>
  <si>
    <t>19:58</t>
  </si>
  <si>
    <t>Internal Transfer</t>
  </si>
  <si>
    <t>W-/FRACCT/13100608010426031FRعبدالوهاب</t>
  </si>
  <si>
    <t>Mobile</t>
  </si>
  <si>
    <t>1447/08/21</t>
  </si>
  <si>
    <t>09:05</t>
  </si>
  <si>
    <t>Inward Local Payment Order</t>
  </si>
  <si>
    <t>Payment-NCBK82826038AQNB-NCBK99626040000M-بندر عبدالله العقل-KASER ALKOSOR ONE HUNDRED THIRTY TW</t>
  </si>
  <si>
    <t>Other</t>
  </si>
  <si>
    <t>14:26</t>
  </si>
  <si>
    <t>W-/FRACCT/14400608010607130FRمنى</t>
  </si>
  <si>
    <t>1447/08/22</t>
  </si>
  <si>
    <t>11:48</t>
  </si>
  <si>
    <t>Payment-1109FT26041N93C3-INMAINM2604100C1-هيله محمد عبدالله الصعب-KASER ALKOSOR ONE HUNDRED THIRTY T</t>
  </si>
  <si>
    <t>19:03</t>
  </si>
  <si>
    <t>W-/FRACCT/29600608010060971FRماجد</t>
  </si>
  <si>
    <t>1447/08/26</t>
  </si>
  <si>
    <t>17:40</t>
  </si>
  <si>
    <t>W-/FRACCT/34100608010027520FRاحمد</t>
  </si>
  <si>
    <t>1447/08/27</t>
  </si>
  <si>
    <t>08:04</t>
  </si>
  <si>
    <t>1447/08/28</t>
  </si>
  <si>
    <t>14:33</t>
  </si>
  <si>
    <t>Payment-NCBK2142604706Y2-NCBK9962604702LP-منى علي الغامدي-قصر القصور مائة واثنان وثلاثون</t>
  </si>
  <si>
    <t>1447/09/02</t>
  </si>
  <si>
    <t>10:11</t>
  </si>
  <si>
    <t>Payment-ML45169502-ARNBFPQ260505922-FATIMAH ALI KHORMI-قصر القصور مائة واثنان وثلاثون</t>
  </si>
  <si>
    <t>14:09</t>
  </si>
  <si>
    <t>Transfer To Customer Account</t>
  </si>
  <si>
    <t>تحويل عبدالسلام علي عثمان البراك / الدفعة الاولى من قصر القصور حي السعادة</t>
  </si>
  <si>
    <t>23:58</t>
  </si>
  <si>
    <t>W-/FRACCT/29600608010657396FRعبدالرحمن</t>
  </si>
  <si>
    <t>1447/09/03</t>
  </si>
  <si>
    <t>00:09</t>
  </si>
  <si>
    <t>1447/09/06</t>
  </si>
  <si>
    <t>14:37</t>
  </si>
  <si>
    <t>Payment-6054120DC0030107-ARNBFPQ260546635-ABDULRAHMAN DAKHIL AALMELHEM-شركة قصر القصور للاستثمار</t>
  </si>
  <si>
    <t>16:35</t>
  </si>
  <si>
    <t>W-/FRACCT/44900608010295508FRمحمد</t>
  </si>
  <si>
    <t>1447/09/07</t>
  </si>
  <si>
    <t>11:17</t>
  </si>
  <si>
    <t>تحويل محمد صالح عبدالرحمن القنيطير / دفعه نصف المبلغ لشراء شقة رقم 2 حي السعادة للاخت هدى صالح القني</t>
  </si>
  <si>
    <t>22:21</t>
  </si>
  <si>
    <t>W-/FRACCT/52100608011685740FRحصة</t>
  </si>
  <si>
    <t>1447/09/08</t>
  </si>
  <si>
    <t>00:04</t>
  </si>
  <si>
    <t>15:11</t>
  </si>
  <si>
    <t>Payment-1703FT26056S720H-INMAINM2605600NQ-باسل توفيق ابن احمد بوعيد-قصر القصور مائة واثنان وثلاثون</t>
  </si>
  <si>
    <t>1447/09/09</t>
  </si>
  <si>
    <t>10:26</t>
  </si>
  <si>
    <t>Payment-LP MAJO000R7-SABBREM26057007U-MOAYAD HUSSAIN A AL RASASI-قصر القصور مائة واثنان وثلا ثون</t>
  </si>
  <si>
    <t>15:09</t>
  </si>
  <si>
    <t>تحويل عبدالرحمن صالح محمد المطلق / دفعة مقدمة من شراء شقة</t>
  </si>
  <si>
    <t>15:16</t>
  </si>
  <si>
    <t>Payment-6057111DC0041919-ARNBFPQ260577980-RAWAH SAEED  HULWAH-قصر القصور مائة واثنان وثلاثون</t>
  </si>
  <si>
    <t>1447/09/12</t>
  </si>
  <si>
    <t>00:20</t>
  </si>
  <si>
    <t>Payment-941700570951GCS0-RIBLPEM2605801OY-ابراهيم سعد عبدالكريم البلم-قصر القصور مائة واثنان وثلاثون</t>
  </si>
  <si>
    <t>00:26</t>
  </si>
  <si>
    <t>Payment-941700570951GCS2-RIBLPEM2605801OY-سعد ابراهيم سعد البلم-قصر القصور مائة واثنان وثلاثون</t>
  </si>
  <si>
    <t>1447/09/13</t>
  </si>
  <si>
    <t>15:58</t>
  </si>
  <si>
    <t>تحويل صفاء احمد حمدان الغامدي / الدفعه الاولى 50% للوحده رقم 16</t>
  </si>
  <si>
    <t>1447/09/16</t>
  </si>
  <si>
    <t>15:03</t>
  </si>
  <si>
    <t>Payment-EPHR98126064PJ1F-BSFRPYC2606401G2-ANDALIB SAEED - HULWAH-قصر القصور مائة واثنان وثلاثون</t>
  </si>
  <si>
    <t>1447/09/22</t>
  </si>
  <si>
    <t>02:42</t>
  </si>
  <si>
    <t>1447/09/23</t>
  </si>
  <si>
    <t>02:31</t>
  </si>
  <si>
    <t>1447/10/13</t>
  </si>
  <si>
    <t>04:20</t>
  </si>
  <si>
    <t>Payment-941700900951J83J-RIBLPEM26091001I-سعد ابراهيم سعد البلم-قصر القصور مائة واثنان وثلاثون</t>
  </si>
  <si>
    <t>02/04/2026</t>
  </si>
  <si>
    <t>1447/10/14</t>
  </si>
  <si>
    <t>12:03</t>
  </si>
  <si>
    <t>Sarie Payment Order</t>
  </si>
  <si>
    <t>EA - REMITTANCE - E260402120245794 - A2A - شركة قصر القصور للاستثمار 83</t>
  </si>
  <si>
    <t>Debit Fund Request</t>
  </si>
  <si>
    <t>14:03</t>
  </si>
  <si>
    <t>EA - REMITTANCE - E260402140238392 - A2A - شركة قصر القصور للاستثمار 83</t>
  </si>
  <si>
    <t>1447/10/20</t>
  </si>
  <si>
    <t>19:35</t>
  </si>
  <si>
    <t>W-/FRACCT/29600608010092180FRهدى</t>
  </si>
  <si>
    <t>1447/10/21</t>
  </si>
  <si>
    <t>09:26</t>
  </si>
  <si>
    <t>Payment-ML49063597-ARNBFPQ260998150-FATIMAH ALI KHORMI-قصر القصور مائة واثنان وثلاثون</t>
  </si>
  <si>
    <t>17:29</t>
  </si>
  <si>
    <t>W-/FRACCT/44900608010357498FRعبدالرحمن</t>
  </si>
  <si>
    <t>1447/10/23</t>
  </si>
  <si>
    <t>15:19</t>
  </si>
  <si>
    <t>15:25</t>
  </si>
  <si>
    <t>1447/10/24</t>
  </si>
  <si>
    <t>00:18</t>
  </si>
  <si>
    <t>Total Credit Transaction</t>
  </si>
  <si>
    <t>Total Debit Transaction</t>
  </si>
  <si>
    <t>Total Credit Amount</t>
  </si>
  <si>
    <t>Total Debit Amount</t>
  </si>
  <si>
    <t>حساب الضمان  من بداية المشروع 4%</t>
  </si>
  <si>
    <t xml:space="preserve">رصيد حساب الضمان </t>
  </si>
  <si>
    <t xml:space="preserve">المسحوب من حساب الضمان </t>
  </si>
  <si>
    <t xml:space="preserve">بيان الوحدات المباعة والتحصيل </t>
  </si>
  <si>
    <t>إجمالي المبيعات لكامل المشروع</t>
  </si>
  <si>
    <t>اجمالي المبيعات للوحدات المحجوزه</t>
  </si>
  <si>
    <t xml:space="preserve">نسبة التحصيل من الوحدات المحجوزة </t>
  </si>
  <si>
    <t xml:space="preserve">نسبة التحصيل من كامل المشروع </t>
  </si>
  <si>
    <t>19/04/2026</t>
  </si>
  <si>
    <t>1447/11/02</t>
  </si>
  <si>
    <t>10:03</t>
  </si>
  <si>
    <t>Payment-1604FT26109HPSQ3-INMAINM26109008C-هيله محمد عبدالله الصعب-KASER ALKOSOR ONE HUNDRED THIRTY</t>
  </si>
  <si>
    <t>22/04/2026</t>
  </si>
  <si>
    <t>1447/11/05</t>
  </si>
  <si>
    <t>13:02</t>
  </si>
  <si>
    <t>تحويل صفاء احمد حمدان الغامدي / الدفعه الثانيه 20% للوحدة رقم 16</t>
  </si>
  <si>
    <t>23/04/2026</t>
  </si>
  <si>
    <t>1447/11/06</t>
  </si>
  <si>
    <t>13:59</t>
  </si>
  <si>
    <t>تحويل محمد خليل نمر هندي / مشروع قصر القصور 132 رقم الوحدة 35</t>
  </si>
  <si>
    <t>24/04/2026</t>
  </si>
  <si>
    <t>1447/11/07</t>
  </si>
  <si>
    <t>12:37</t>
  </si>
  <si>
    <t>حوالة بنكية من صفاء احمد حمدان الغامدي عن دفعة 20% من قيمة شقة 16 بمشروع قصر القصور رقم 132 حي السعادة</t>
  </si>
  <si>
    <t>حوالة بنكية من محمد خليل نمر هندي عن دفعة من قيمة شقة 35 بمشروع قصر القصور رقم 132 حي السعادة</t>
  </si>
  <si>
    <t>حوالة بنكية من حصة محمد حمود الجربوع عن دفعة 20% من قيمة شقة 15 بمشروع قصر القصور رقم 132 حي السعادة</t>
  </si>
  <si>
    <t>محمد خليل نمر هندي</t>
  </si>
  <si>
    <t xml:space="preserve">احمد  طلعت أبو شارب </t>
  </si>
  <si>
    <t>نسبة 4% نهائي</t>
  </si>
  <si>
    <t>اسامة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</si>
</sst>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_-* #,##0.00\ _ج_._م_._‏_-;\-* #,##0.00\ _ج_._م_._‏_-;_-* &quot;-&quot;??\ _ج_._م_._‏_-;_-@_-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Sakkal Majalla"/>
    </font>
    <font>
      <sz val="12"/>
      <color theme="1"/>
      <name val="Sakkal Majalla"/>
    </font>
    <font>
      <sz val="8"/>
      <name val="Calibri"/>
      <family val="2"/>
      <scheme val="minor"/>
    </font>
    <font>
      <sz val="14"/>
      <color theme="1"/>
      <name val="Sakkal Majalla"/>
    </font>
    <font>
      <b/>
      <sz val="14"/>
      <color theme="1"/>
      <name val="Sakkal Majalla"/>
    </font>
    <font>
      <b/>
      <sz val="12"/>
      <name val="Sakkal Majalla"/>
    </font>
    <font>
      <b/>
      <sz val="14"/>
      <color theme="0"/>
      <name val="Sakkal Majalla"/>
    </font>
    <font>
      <b/>
      <sz val="18"/>
      <color rgb="FF002060"/>
      <name val="Sakkal Majalla"/>
    </font>
    <font>
      <sz val="14"/>
      <color rgb="FFC00000"/>
      <name val="Sakkal Majalla"/>
    </font>
    <font>
      <b/>
      <sz val="12"/>
      <color theme="1"/>
      <name val="Sakkal Majalla"/>
    </font>
    <font>
      <sz val="12"/>
      <color rgb="FF00B050"/>
      <name val="Sakkal Majalla"/>
    </font>
    <font>
      <b/>
      <sz val="16"/>
      <name val="Arial"/>
      <family val="2"/>
    </font>
    <font>
      <b/>
      <sz val="12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  <font>
      <b/>
      <sz val="14"/>
      <color rgb="FF00B0F0"/>
      <name val="Sakkal Majalla"/>
    </font>
    <font>
      <b/>
      <sz val="14"/>
      <color theme="5" tint="-0.499984740745262"/>
      <name val="Sakkal Majalla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vertical="center" wrapText="1"/>
    </xf>
    <xf numFmtId="164" fontId="4" fillId="4" borderId="0" xfId="0" applyNumberFormat="1" applyFont="1" applyFill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6" fillId="0" borderId="0" xfId="0" applyFont="1"/>
    <xf numFmtId="165" fontId="4" fillId="0" borderId="0" xfId="0" applyNumberFormat="1" applyFont="1"/>
    <xf numFmtId="164" fontId="6" fillId="0" borderId="0" xfId="0" applyNumberFormat="1" applyFont="1" applyAlignment="1">
      <alignment horizontal="center"/>
    </xf>
    <xf numFmtId="0" fontId="9" fillId="3" borderId="1" xfId="0" applyFont="1" applyFill="1" applyBorder="1"/>
    <xf numFmtId="164" fontId="9" fillId="3" borderId="1" xfId="0" applyNumberFormat="1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0" fontId="7" fillId="5" borderId="1" xfId="0" applyFont="1" applyFill="1" applyBorder="1"/>
    <xf numFmtId="164" fontId="7" fillId="5" borderId="1" xfId="0" applyNumberFormat="1" applyFont="1" applyFill="1" applyBorder="1" applyAlignment="1">
      <alignment horizontal="center"/>
    </xf>
    <xf numFmtId="0" fontId="11" fillId="0" borderId="1" xfId="0" applyFont="1" applyBorder="1"/>
    <xf numFmtId="9" fontId="11" fillId="0" borderId="1" xfId="2" applyFont="1" applyBorder="1" applyAlignment="1">
      <alignment horizontal="center"/>
    </xf>
    <xf numFmtId="9" fontId="0" fillId="0" borderId="0" xfId="2" applyFont="1"/>
    <xf numFmtId="14" fontId="4" fillId="0" borderId="0" xfId="0" applyNumberFormat="1" applyFont="1" applyAlignment="1">
      <alignment horizontal="center"/>
    </xf>
    <xf numFmtId="164" fontId="4" fillId="0" borderId="0" xfId="2" applyNumberFormat="1" applyFont="1" applyFill="1" applyBorder="1" applyAlignment="1">
      <alignment horizontal="center"/>
    </xf>
    <xf numFmtId="164" fontId="4" fillId="4" borderId="0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7" fontId="3" fillId="3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12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164" fontId="12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164" fontId="13" fillId="4" borderId="0" xfId="0" applyNumberFormat="1" applyFont="1" applyFill="1" applyAlignment="1">
      <alignment horizontal="center"/>
    </xf>
    <xf numFmtId="43" fontId="0" fillId="0" borderId="0" xfId="1" applyFont="1" applyAlignment="1">
      <alignment horizontal="right"/>
    </xf>
    <xf numFmtId="166" fontId="0" fillId="0" borderId="0" xfId="2" applyNumberFormat="1" applyFont="1" applyAlignment="1">
      <alignment horizontal="center"/>
    </xf>
    <xf numFmtId="0" fontId="0" fillId="0" borderId="4" xfId="0" applyBorder="1" applyAlignment="1">
      <alignment horizontal="right"/>
    </xf>
    <xf numFmtId="164" fontId="4" fillId="2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8" fillId="5" borderId="0" xfId="0" applyFont="1" applyFill="1" applyAlignment="1">
      <alignment horizontal="center"/>
    </xf>
    <xf numFmtId="14" fontId="8" fillId="5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43" fontId="0" fillId="0" borderId="0" xfId="1" applyFont="1"/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center" vertical="center"/>
    </xf>
    <xf numFmtId="0" fontId="0" fillId="0" borderId="0" xfId="0" applyAlignment="1">
      <alignment wrapText="1"/>
    </xf>
    <xf numFmtId="4" fontId="16" fillId="0" borderId="0" xfId="0" applyNumberFormat="1" applyFont="1"/>
    <xf numFmtId="4" fontId="17" fillId="0" borderId="0" xfId="0" applyNumberFormat="1" applyFont="1"/>
    <xf numFmtId="4" fontId="0" fillId="0" borderId="0" xfId="0" applyNumberFormat="1" applyAlignment="1">
      <alignment horizontal="right"/>
    </xf>
    <xf numFmtId="0" fontId="18" fillId="8" borderId="1" xfId="0" applyFont="1" applyFill="1" applyBorder="1"/>
    <xf numFmtId="9" fontId="18" fillId="8" borderId="1" xfId="2" applyFont="1" applyFill="1" applyBorder="1" applyAlignment="1">
      <alignment horizontal="center"/>
    </xf>
    <xf numFmtId="0" fontId="19" fillId="9" borderId="1" xfId="0" applyFont="1" applyFill="1" applyBorder="1"/>
    <xf numFmtId="9" fontId="19" fillId="9" borderId="1" xfId="2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164" fontId="6" fillId="0" borderId="0" xfId="0" applyNumberFormat="1" applyFont="1"/>
    <xf numFmtId="14" fontId="4" fillId="0" borderId="0" xfId="0" applyNumberFormat="1" applyFont="1" applyAlignment="1">
      <alignment horizontal="left"/>
    </xf>
    <xf numFmtId="164" fontId="4" fillId="0" borderId="0" xfId="1" applyNumberFormat="1" applyFont="1" applyAlignment="1">
      <alignment horizontal="right"/>
    </xf>
    <xf numFmtId="0" fontId="10" fillId="5" borderId="6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center"/>
    </xf>
    <xf numFmtId="9" fontId="4" fillId="0" borderId="0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#,##0.00_ ;[Red]\-#,##0.00\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7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numFmt numFmtId="167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akkal Majalla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85725</xdr:rowOff>
    </xdr:from>
    <xdr:to>
      <xdr:col>1</xdr:col>
      <xdr:colOff>2371725</xdr:colOff>
      <xdr:row>5</xdr:row>
      <xdr:rowOff>76200</xdr:rowOff>
    </xdr:to>
    <xdr:sp macro="" textlink="$C$13">
      <xdr:nvSpPr>
        <xdr:cNvPr id="2" name="مستطيل: زوايا مستديرة 1">
          <a:extLst>
            <a:ext uri="{FF2B5EF4-FFF2-40B4-BE49-F238E27FC236}">
              <a16:creationId xmlns:a16="http://schemas.microsoft.com/office/drawing/2014/main" id="{10F64AAB-1F8E-AB33-4411-20D0D1C82EFD}"/>
            </a:ext>
          </a:extLst>
        </xdr:cNvPr>
        <xdr:cNvSpPr/>
      </xdr:nvSpPr>
      <xdr:spPr>
        <a:xfrm>
          <a:off x="11239871475" y="361950"/>
          <a:ext cx="2514600" cy="1095375"/>
        </a:xfrm>
        <a:prstGeom prst="roundRect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fld id="{4F1668AC-937C-4A62-948D-E1D99D25E18D}" type="TxLink">
            <a:rPr lang="en-US" sz="1800" b="0" i="0" u="none" strike="noStrike">
              <a:solidFill>
                <a:schemeClr val="bg1"/>
              </a:solidFill>
              <a:latin typeface="Sakkal Majalla"/>
              <a:cs typeface="Sakkal Majalla"/>
            </a:rPr>
            <a:pPr algn="ctr" rtl="1"/>
            <a:t>15,054,819.00 </a:t>
          </a:fld>
          <a:endParaRPr lang="ar-EG" sz="2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2457450</xdr:colOff>
      <xdr:row>1</xdr:row>
      <xdr:rowOff>85725</xdr:rowOff>
    </xdr:from>
    <xdr:to>
      <xdr:col>2</xdr:col>
      <xdr:colOff>1400175</xdr:colOff>
      <xdr:row>5</xdr:row>
      <xdr:rowOff>76200</xdr:rowOff>
    </xdr:to>
    <xdr:sp macro="" textlink="$H$14">
      <xdr:nvSpPr>
        <xdr:cNvPr id="3" name="مستطيل: زوايا مستديرة 2">
          <a:extLst>
            <a:ext uri="{FF2B5EF4-FFF2-40B4-BE49-F238E27FC236}">
              <a16:creationId xmlns:a16="http://schemas.microsoft.com/office/drawing/2014/main" id="{273AC8AB-D9AF-4F6A-9264-5F389412FE73}"/>
            </a:ext>
          </a:extLst>
        </xdr:cNvPr>
        <xdr:cNvSpPr/>
      </xdr:nvSpPr>
      <xdr:spPr>
        <a:xfrm>
          <a:off x="11237290200" y="361950"/>
          <a:ext cx="2514600" cy="1095375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fld id="{1F3B72E0-9AC7-4784-B953-880D4DB55657}" type="TxLink">
            <a:rPr lang="en-US" sz="1800" b="0" i="0" u="none" strike="noStrike">
              <a:solidFill>
                <a:schemeClr val="bg1"/>
              </a:solidFill>
              <a:latin typeface="Sakkal Majalla"/>
              <a:cs typeface="Sakkal Majalla"/>
            </a:rPr>
            <a:pPr algn="ctr" rtl="1"/>
            <a:t>2,880,625.10 </a:t>
          </a:fld>
          <a:endParaRPr lang="ar-EG" sz="24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171450</xdr:colOff>
      <xdr:row>1</xdr:row>
      <xdr:rowOff>85725</xdr:rowOff>
    </xdr:from>
    <xdr:to>
      <xdr:col>4</xdr:col>
      <xdr:colOff>2476500</xdr:colOff>
      <xdr:row>5</xdr:row>
      <xdr:rowOff>76200</xdr:rowOff>
    </xdr:to>
    <xdr:sp macro="" textlink="$C$15">
      <xdr:nvSpPr>
        <xdr:cNvPr id="4" name="مستطيل: زوايا مستديرة 3">
          <a:extLst>
            <a:ext uri="{FF2B5EF4-FFF2-40B4-BE49-F238E27FC236}">
              <a16:creationId xmlns:a16="http://schemas.microsoft.com/office/drawing/2014/main" id="{57D2F38B-0D80-4662-9D6E-8AF6AED82143}"/>
            </a:ext>
          </a:extLst>
        </xdr:cNvPr>
        <xdr:cNvSpPr/>
      </xdr:nvSpPr>
      <xdr:spPr>
        <a:xfrm>
          <a:off x="11234566050" y="361950"/>
          <a:ext cx="2514600" cy="1095375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fld id="{0061863E-6A8A-44C2-A510-5F280B088BA1}" type="TxLink">
            <a:rPr lang="en-US" sz="1800" b="0" i="0" u="none" strike="noStrike">
              <a:solidFill>
                <a:schemeClr val="bg1"/>
              </a:solidFill>
              <a:latin typeface="Sakkal Majalla"/>
              <a:cs typeface="Sakkal Majalla"/>
            </a:rPr>
            <a:pPr algn="ctr" rtl="1"/>
            <a:t>8,415,474.10 </a:t>
          </a:fld>
          <a:endParaRPr lang="ar-EG" sz="1800" b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2667000</xdr:colOff>
      <xdr:row>1</xdr:row>
      <xdr:rowOff>85725</xdr:rowOff>
    </xdr:from>
    <xdr:to>
      <xdr:col>6</xdr:col>
      <xdr:colOff>171450</xdr:colOff>
      <xdr:row>5</xdr:row>
      <xdr:rowOff>76200</xdr:rowOff>
    </xdr:to>
    <xdr:sp macro="" textlink="$C$16">
      <xdr:nvSpPr>
        <xdr:cNvPr id="5" name="مستطيل: زوايا مستديرة 4">
          <a:extLst>
            <a:ext uri="{FF2B5EF4-FFF2-40B4-BE49-F238E27FC236}">
              <a16:creationId xmlns:a16="http://schemas.microsoft.com/office/drawing/2014/main" id="{AEA2B77D-B295-42B6-A598-3B579D930DA6}"/>
            </a:ext>
          </a:extLst>
        </xdr:cNvPr>
        <xdr:cNvSpPr/>
      </xdr:nvSpPr>
      <xdr:spPr>
        <a:xfrm>
          <a:off x="11233432575" y="361950"/>
          <a:ext cx="2514600" cy="1095375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fld id="{E5A04237-8504-4F70-A2D9-D5A1B78576CE}" type="TxLink">
            <a:rPr lang="en-US" sz="1800" b="0" i="0" u="none" strike="noStrike">
              <a:solidFill>
                <a:schemeClr val="bg1"/>
              </a:solidFill>
              <a:latin typeface="Sakkal Majalla"/>
              <a:cs typeface="Sakkal Majalla"/>
            </a:rPr>
            <a:pPr algn="ctr" rtl="1"/>
            <a:t>43%</a:t>
          </a:fld>
          <a:endParaRPr lang="ar-EG" sz="18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9525</xdr:colOff>
      <xdr:row>1</xdr:row>
      <xdr:rowOff>85725</xdr:rowOff>
    </xdr:from>
    <xdr:to>
      <xdr:col>1</xdr:col>
      <xdr:colOff>1685925</xdr:colOff>
      <xdr:row>2</xdr:row>
      <xdr:rowOff>133350</xdr:rowOff>
    </xdr:to>
    <xdr:sp macro="" textlink="$E$8">
      <xdr:nvSpPr>
        <xdr:cNvPr id="6" name="مربع نص 5">
          <a:extLst>
            <a:ext uri="{FF2B5EF4-FFF2-40B4-BE49-F238E27FC236}">
              <a16:creationId xmlns:a16="http://schemas.microsoft.com/office/drawing/2014/main" id="{A1E89BE1-637F-8D3C-602A-CD53A3957427}"/>
            </a:ext>
          </a:extLst>
        </xdr:cNvPr>
        <xdr:cNvSpPr txBox="1"/>
      </xdr:nvSpPr>
      <xdr:spPr>
        <a:xfrm>
          <a:off x="11240557275" y="361950"/>
          <a:ext cx="1676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r>
            <a:rPr lang="ar-EG" sz="1600" b="1" i="0" u="none" strike="noStrike">
              <a:solidFill>
                <a:schemeClr val="bg1"/>
              </a:solidFill>
              <a:latin typeface="Sakkal Majalla"/>
              <a:cs typeface="Sakkal Majalla"/>
            </a:rPr>
            <a:t>اجمالي</a:t>
          </a:r>
          <a:r>
            <a:rPr lang="ar-EG" sz="1600" b="1" i="0" u="none" strike="noStrike" baseline="0">
              <a:solidFill>
                <a:schemeClr val="bg1"/>
              </a:solidFill>
              <a:latin typeface="Sakkal Majalla"/>
              <a:cs typeface="Sakkal Majalla"/>
            </a:rPr>
            <a:t> المبيعات</a:t>
          </a:r>
          <a:endParaRPr lang="ar-EG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2638425</xdr:colOff>
      <xdr:row>1</xdr:row>
      <xdr:rowOff>161925</xdr:rowOff>
    </xdr:from>
    <xdr:to>
      <xdr:col>5</xdr:col>
      <xdr:colOff>1038225</xdr:colOff>
      <xdr:row>2</xdr:row>
      <xdr:rowOff>209550</xdr:rowOff>
    </xdr:to>
    <xdr:sp macro="" textlink="$E$8">
      <xdr:nvSpPr>
        <xdr:cNvPr id="7" name="مربع نص 6">
          <a:extLst>
            <a:ext uri="{FF2B5EF4-FFF2-40B4-BE49-F238E27FC236}">
              <a16:creationId xmlns:a16="http://schemas.microsoft.com/office/drawing/2014/main" id="{DA831F49-17E0-486A-8C6A-8A855720F1C6}"/>
            </a:ext>
          </a:extLst>
        </xdr:cNvPr>
        <xdr:cNvSpPr txBox="1"/>
      </xdr:nvSpPr>
      <xdr:spPr>
        <a:xfrm>
          <a:off x="11234004075" y="438150"/>
          <a:ext cx="19716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indent="0" algn="r" rtl="1"/>
          <a:r>
            <a:rPr lang="ar-EG" sz="1600" b="1" i="0" u="none" strike="noStrike">
              <a:solidFill>
                <a:schemeClr val="bg1"/>
              </a:solidFill>
              <a:latin typeface="Sakkal Majalla"/>
              <a:ea typeface="+mn-ea"/>
              <a:cs typeface="Sakkal Majalla"/>
            </a:rPr>
            <a:t>نسبة التحصيل من الوحدات المحجوزة </a:t>
          </a:r>
        </a:p>
      </xdr:txBody>
    </xdr:sp>
    <xdr:clientData/>
  </xdr:twoCellAnchor>
  <xdr:twoCellAnchor>
    <xdr:from>
      <xdr:col>1</xdr:col>
      <xdr:colOff>2486025</xdr:colOff>
      <xdr:row>1</xdr:row>
      <xdr:rowOff>104775</xdr:rowOff>
    </xdr:from>
    <xdr:to>
      <xdr:col>2</xdr:col>
      <xdr:colOff>590550</xdr:colOff>
      <xdr:row>2</xdr:row>
      <xdr:rowOff>152400</xdr:rowOff>
    </xdr:to>
    <xdr:sp macro="" textlink="$E$8">
      <xdr:nvSpPr>
        <xdr:cNvPr id="8" name="مربع نص 7">
          <a:extLst>
            <a:ext uri="{FF2B5EF4-FFF2-40B4-BE49-F238E27FC236}">
              <a16:creationId xmlns:a16="http://schemas.microsoft.com/office/drawing/2014/main" id="{87677F30-F45E-4DA7-8EB4-D79AE6B80BD5}"/>
            </a:ext>
          </a:extLst>
        </xdr:cNvPr>
        <xdr:cNvSpPr txBox="1"/>
      </xdr:nvSpPr>
      <xdr:spPr>
        <a:xfrm>
          <a:off x="11238099825" y="381000"/>
          <a:ext cx="1676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fld id="{570B5E6D-0433-4AC4-8A68-5DBA96FAD565}" type="TxLink">
            <a:rPr lang="ar-EG" sz="1600" b="1" i="0" u="none" strike="noStrike">
              <a:solidFill>
                <a:schemeClr val="bg1"/>
              </a:solidFill>
              <a:latin typeface="Sakkal Majalla"/>
              <a:cs typeface="Sakkal Majalla"/>
            </a:rPr>
            <a:pPr algn="r" rtl="1"/>
            <a:t> </a:t>
          </a:fld>
          <a:r>
            <a:rPr lang="ar-EG" sz="1600" b="1" i="0" u="none" strike="noStrike">
              <a:solidFill>
                <a:schemeClr val="bg1"/>
              </a:solidFill>
              <a:latin typeface="Sakkal Majalla"/>
              <a:cs typeface="Sakkal Majalla"/>
            </a:rPr>
            <a:t>رصيد حساب الضمان</a:t>
          </a:r>
          <a:endParaRPr lang="ar-EG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38100</xdr:colOff>
      <xdr:row>1</xdr:row>
      <xdr:rowOff>95250</xdr:rowOff>
    </xdr:from>
    <xdr:to>
      <xdr:col>4</xdr:col>
      <xdr:colOff>1714500</xdr:colOff>
      <xdr:row>2</xdr:row>
      <xdr:rowOff>142875</xdr:rowOff>
    </xdr:to>
    <xdr:sp macro="" textlink="$E$8">
      <xdr:nvSpPr>
        <xdr:cNvPr id="9" name="مربع نص 8">
          <a:extLst>
            <a:ext uri="{FF2B5EF4-FFF2-40B4-BE49-F238E27FC236}">
              <a16:creationId xmlns:a16="http://schemas.microsoft.com/office/drawing/2014/main" id="{0E015072-52E1-46F4-B861-FA58BD27905F}"/>
            </a:ext>
          </a:extLst>
        </xdr:cNvPr>
        <xdr:cNvSpPr txBox="1"/>
      </xdr:nvSpPr>
      <xdr:spPr>
        <a:xfrm>
          <a:off x="11235328050" y="371475"/>
          <a:ext cx="16764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indent="0" algn="r" rtl="1"/>
          <a:r>
            <a:rPr lang="ar-EG" sz="1600" b="1" i="0" u="none" strike="noStrike">
              <a:solidFill>
                <a:schemeClr val="bg1"/>
              </a:solidFill>
              <a:latin typeface="Sakkal Majalla"/>
              <a:ea typeface="+mn-ea"/>
              <a:cs typeface="Sakkal Majalla"/>
            </a:rPr>
            <a:t>الدفعات المحصلة</a:t>
          </a:r>
        </a:p>
      </xdr:txBody>
    </xdr:sp>
    <xdr:clientData/>
  </xdr:twoCellAnchor>
  <xdr:twoCellAnchor>
    <xdr:from>
      <xdr:col>6</xdr:col>
      <xdr:colOff>419100</xdr:colOff>
      <xdr:row>1</xdr:row>
      <xdr:rowOff>95250</xdr:rowOff>
    </xdr:from>
    <xdr:to>
      <xdr:col>7</xdr:col>
      <xdr:colOff>1266825</xdr:colOff>
      <xdr:row>5</xdr:row>
      <xdr:rowOff>85725</xdr:rowOff>
    </xdr:to>
    <xdr:sp macro="" textlink="">
      <xdr:nvSpPr>
        <xdr:cNvPr id="10" name="مستطيل: زوايا مستديرة 9">
          <a:extLst>
            <a:ext uri="{FF2B5EF4-FFF2-40B4-BE49-F238E27FC236}">
              <a16:creationId xmlns:a16="http://schemas.microsoft.com/office/drawing/2014/main" id="{A96E5460-C329-4CF5-93F6-D849EC3AAE8D}"/>
            </a:ext>
          </a:extLst>
        </xdr:cNvPr>
        <xdr:cNvSpPr/>
      </xdr:nvSpPr>
      <xdr:spPr>
        <a:xfrm>
          <a:off x="11230670325" y="371475"/>
          <a:ext cx="2514600" cy="1095375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en-US" sz="1800" b="0" i="0" u="none" strike="noStrike">
              <a:solidFill>
                <a:schemeClr val="bg1"/>
              </a:solidFill>
              <a:latin typeface="Sakkal Majalla"/>
              <a:cs typeface="Sakkal Majalla"/>
            </a:rPr>
            <a:t>2%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6</xdr:col>
      <xdr:colOff>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C755E-7B20-4E10-B853-2106CAA28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323850"/>
          <a:ext cx="42957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9534EB-4212-42EA-A932-2CD034A1E3DB}" name="الجدول2" displayName="الجدول2" ref="A1:AA43" totalsRowCount="1" headerRowDxfId="69" dataDxfId="68" totalsRowDxfId="67">
  <autoFilter ref="A1:AA42" xr:uid="{2C9534EB-4212-42EA-A932-2CD034A1E3DB}">
    <filterColumn colId="9">
      <filters>
        <filter val="140,600.00"/>
        <filter val="245,700.00"/>
        <filter val="248,875.00"/>
        <filter val="250,000.00"/>
        <filter val="253,675.00"/>
        <filter val="260,500.00"/>
        <filter val="273,000.00"/>
        <filter val="279,825.00"/>
        <filter val="281,843.00"/>
        <filter val="296,400.00"/>
        <filter val="309,935.00"/>
        <filter val="311,260.00"/>
        <filter val="347,900.00"/>
        <filter val="391,755.00"/>
        <filter val="402,255.00"/>
        <filter val="412,790.00"/>
        <filter val="415,543.10"/>
        <filter val="447,160.00"/>
        <filter val="459,900.00"/>
        <filter val="469,518.00"/>
        <filter val="471,400.00"/>
        <filter val="486,850.00"/>
      </filters>
    </filterColumn>
  </autoFilter>
  <tableColumns count="27">
    <tableColumn id="1" xr3:uid="{4B74B472-1E20-4FAA-B04A-7B59DA545D4E}" name="رقم الوحدة" dataDxfId="53" totalsRowDxfId="26"/>
    <tableColumn id="2" xr3:uid="{000DC7F5-DCD6-4D9A-9357-893D12FFC901}" name="اسم العميل" totalsRowFunction="count" dataDxfId="52" totalsRowDxfId="25"/>
    <tableColumn id="4" xr3:uid="{9076FE60-7D23-4FA1-85AB-C6A17246FC03}" name="الدور" dataDxfId="51" totalsRowDxfId="24"/>
    <tableColumn id="5" xr3:uid="{C70628C5-9A7C-4E35-8859-50CB1169F9B7}" name="المساحة " dataDxfId="50" totalsRowDxfId="23"/>
    <tableColumn id="6" xr3:uid="{38B7FC2A-9082-4EBC-9F9A-7B7C5D5E216C}" name="مواصفات" dataDxfId="49" totalsRowDxfId="22"/>
    <tableColumn id="22" xr3:uid="{6F7C0606-4696-410C-81DC-2D686E6DCD94}" name="نوع الحجز" dataDxfId="48" totalsRowDxfId="21"/>
    <tableColumn id="7" xr3:uid="{CD1F2ECE-4D84-475E-AFED-BE9C48D2A0A3}" name="قيمة الوحدة " totalsRowFunction="sum" dataDxfId="47" totalsRowDxfId="20"/>
    <tableColumn id="20" xr3:uid="{147BB2DB-E232-4F66-A39B-2DE40997C215}" name="تاريخ الحجز" dataDxfId="46" totalsRowDxfId="19"/>
    <tableColumn id="8" xr3:uid="{1AC03935-3B52-4085-A753-8569D12F8401}" name="تاريخ العقد" totalsRowFunction="sum" dataDxfId="45" totalsRowDxfId="18"/>
    <tableColumn id="9" xr3:uid="{F54A1A47-2247-444F-9998-D53F34AF7153}" name="إجمالي الدفعات المحصلة" totalsRowFunction="sum" dataDxfId="44" totalsRowDxfId="17">
      <calculatedColumnFormula>SUMIF('الدفعات والتحصيل'!B:B,الجدول2[[#This Row],[رقم الوحدة]],'الدفعات والتحصيل'!D:D)</calculatedColumnFormula>
    </tableColumn>
    <tableColumn id="19" xr3:uid="{7161B125-5055-41B2-81EB-9C5893B329DA}" name="نسبة التحصيل  الفعلي" dataDxfId="43" totalsRowDxfId="16">
      <calculatedColumnFormula>IFERROR(الجدول2[[#This Row],[إجمالي الدفعات المحصلة]]/الجدول2[[#This Row],[قيمة الوحدة ]],0)</calculatedColumnFormula>
    </tableColumn>
    <tableColumn id="10" xr3:uid="{F5C78A0B-8009-4340-98EB-9187CA13AF12}" name="الرصيد المتبقي الفعلي" totalsRowFunction="sum" dataDxfId="42" totalsRowDxfId="15"/>
    <tableColumn id="16" xr3:uid="{12294BE8-8E4E-4565-8F44-7F1CD7FDB589}" name="قيمة الوحدة بدون السعي " totalsRowFunction="sum" dataDxfId="41" totalsRowDxfId="14">
      <calculatedColumnFormula>الجدول2[[#This Row],[قيمة الوحدة ]]/1.035</calculatedColumnFormula>
    </tableColumn>
    <tableColumn id="11" xr3:uid="{35E66D80-A442-4218-9F42-B43BC78A9915}" name="العمولة " totalsRowFunction="sum" dataDxfId="40" totalsRowDxfId="13">
      <calculatedColumnFormula>الجدول2[[#This Row],[قيمة الوحدة بدون السعي ]]*0.035</calculatedColumnFormula>
    </tableColumn>
    <tableColumn id="13" xr3:uid="{0986DC70-3BDD-4F0C-ABC4-15C56A1C4D9E}" name="ضريبة العمولة " totalsRowFunction="sum" dataDxfId="39" totalsRowDxfId="12">
      <calculatedColumnFormula>الجدول2[[#This Row],[العمولة ]]*0.15</calculatedColumnFormula>
    </tableColumn>
    <tableColumn id="14" xr3:uid="{BB511710-55C8-4953-9BD4-B5B003DD74B4}" name="العمولة شاملة الضريبة " totalsRowFunction="sum" dataDxfId="38" totalsRowDxfId="11">
      <calculatedColumnFormula>الجدول2[[#This Row],[ضريبة العمولة ]]+الجدول2[[#This Row],[العمولة ]]</calculatedColumnFormula>
    </tableColumn>
    <tableColumn id="15" xr3:uid="{A60449BD-EEB4-4000-9F66-DB3503A7CB4D}" name="مكافاة البيع " totalsRowFunction="sum" dataDxfId="37" totalsRowDxfId="10"/>
    <tableColumn id="17" xr3:uid="{73E320A4-D2BB-4A61-AB40-778C2906675A}" name="العمولة + مكافاة البيع" totalsRowFunction="sum" dataDxfId="36" totalsRowDxfId="9">
      <calculatedColumnFormula>الجدول2[[#This Row],[مكافاة البيع ]]+الجدول2[[#This Row],[العمولة شاملة الضريبة ]]</calculatedColumnFormula>
    </tableColumn>
    <tableColumn id="12" xr3:uid="{65B0971F-CB60-4CE4-9AB1-C104B7A2FB66}" name="المسدد من العمولة " totalsRowFunction="sum" dataDxfId="35" totalsRowDxfId="8"/>
    <tableColumn id="18" xr3:uid="{5FA0A775-31F3-4E9C-8BB9-3B49E9F3E72C}" name="المتبقي من العمولة" totalsRowFunction="sum" dataDxfId="34" totalsRowDxfId="7">
      <calculatedColumnFormula>الجدول2[[#This Row],[العمولة + مكافاة البيع]]-الجدول2[[#This Row],[المسدد من العمولة ]]</calculatedColumnFormula>
    </tableColumn>
    <tableColumn id="3" xr3:uid="{ED4D268A-7A5A-4766-94CF-52095C34995C}" name="حالة توقيع العقد " dataDxfId="33" totalsRowDxfId="6"/>
    <tableColumn id="23" xr3:uid="{B9A44B66-8347-41D4-AA95-F2D24D5E46C8}" name="تحصيل 4-2026 إيصال الى 70%" totalsRowFunction="sum" dataDxfId="32" totalsRowDxfId="5">
      <calculatedColumnFormula>الجدول2[[#This Row],[قيمة الوحدة ]]*0.7-الجدول2[[#This Row],[إجمالي الدفعات المحصلة]]</calculatedColumnFormula>
    </tableColumn>
    <tableColumn id="24" xr3:uid="{C3914FF6-BC22-4DFC-97EC-F8F0EF3D4713}" name="تحصيل 6-2026 إيصال الى 85%" totalsRowFunction="sum" dataDxfId="31" totalsRowDxfId="4">
      <calculatedColumnFormula>الجدول2[[#This Row],[قيمة الوحدة ]]*0.85-الجدول2[[#This Row],[إجمالي الدفعات المحصلة]]</calculatedColumnFormula>
    </tableColumn>
    <tableColumn id="25" xr3:uid="{50630AF6-2F49-4901-BD78-9B127FCDAB54}" name="تحصيل 7-2026 إيصال الى 95%" totalsRowFunction="sum" dataDxfId="30" totalsRowDxfId="3">
      <calculatedColumnFormula>الجدول2[[#This Row],[قيمة الوحدة ]]*0.7-الجدول2[[#This Row],[إجمالي الدفعات المحصلة]]</calculatedColumnFormula>
    </tableColumn>
    <tableColumn id="26" xr3:uid="{A95C23FF-BEB1-4914-8920-8B614CC5926C}" name="تحصيل 11-2026 إيصال الى 100%" totalsRowFunction="sum" dataDxfId="29" totalsRowDxfId="2">
      <calculatedColumnFormula>الجدول2[[#This Row],[قيمة الوحدة ]]*0.7-الجدول2[[#This Row],[إجمالي الدفعات المحصلة]]</calculatedColumnFormula>
    </tableColumn>
    <tableColumn id="27" xr3:uid="{8BC9E147-9D22-4747-A42B-FCCDB99C93A1}" name="اجمالي الوحدة المحصلة" totalsRowFunction="sum" dataDxfId="28" totalsRowDxfId="1">
      <calculatedColumnFormula>SUM(الجدول2[[#This Row],[تحصيل 4-2026 إيصال الى 70%]:[تحصيل 11-2026 إيصال الى 100%]])</calculatedColumnFormula>
    </tableColumn>
    <tableColumn id="28" xr3:uid="{C71C61CD-B6DB-4DE8-98C5-E48272B37372}" name="المتبقي " totalsRowFunction="sum" dataDxfId="27" totalsRowDxfId="0">
      <calculatedColumnFormula>الجدول2[[#This Row],[اجمالي الوحدة المحصلة]]-الجدول2[[#This Row],[قيمة الوحدة ]]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345FF4-709E-4B23-9667-96805629BBC5}" name="الجدول3" displayName="الجدول3" ref="A1:E41" totalsRowCount="1" headerRowDxfId="66" dataDxfId="65" totalsRowDxfId="64">
  <autoFilter ref="A1:E40" xr:uid="{86345FF4-709E-4B23-9667-96805629BBC5}"/>
  <tableColumns count="5">
    <tableColumn id="1" xr3:uid="{CB857125-EE02-4594-A660-EEA20705CBB5}" name="اسم العميل" dataDxfId="63" totalsRowDxfId="62"/>
    <tableColumn id="2" xr3:uid="{EA7C38BB-09A6-49DF-AFF3-577C8BAC7727}" name="رقم الوحدة" dataDxfId="61" totalsRowDxfId="60"/>
    <tableColumn id="3" xr3:uid="{568CB7C8-D0AD-49E8-82DF-D1F364FDC30F}" name="تاريخ الدفعة" dataDxfId="59" totalsRowDxfId="58"/>
    <tableColumn id="4" xr3:uid="{FFC649A5-E113-44D4-9CB5-15218D16A10E}" name="قيمة الدفعة" totalsRowFunction="sum" dataDxfId="57" totalsRowDxfId="56" dataCellStyle="Comma"/>
    <tableColumn id="5" xr3:uid="{66001B21-AEE0-41E5-A8D6-86286F4E2D65}" name="ملاحظات" dataDxfId="55" totalsRowDxfId="5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7"/>
  <dimension ref="B5:U25"/>
  <sheetViews>
    <sheetView showGridLines="0" rightToLeft="1" topLeftCell="A5" zoomScale="132" zoomScaleNormal="90" workbookViewId="0">
      <selection activeCell="C11" sqref="C11"/>
    </sheetView>
  </sheetViews>
  <sheetFormatPr defaultColWidth="9" defaultRowHeight="20.65" x14ac:dyDescent="0.9"/>
  <cols>
    <col min="1" max="1" width="3.86328125" style="17" customWidth="1"/>
    <col min="2" max="2" width="49.73046875" style="17" customWidth="1"/>
    <col min="3" max="3" width="18.86328125" style="19" customWidth="1"/>
    <col min="4" max="4" width="2.73046875" style="17" customWidth="1"/>
    <col min="5" max="5" width="46.86328125" style="17" customWidth="1"/>
    <col min="6" max="6" width="18.86328125" style="19" customWidth="1"/>
    <col min="7" max="7" width="21.86328125" style="17" bestFit="1" customWidth="1"/>
    <col min="8" max="8" width="16.73046875" style="17" bestFit="1" customWidth="1"/>
    <col min="9" max="16384" width="9" style="17"/>
  </cols>
  <sheetData>
    <row r="5" spans="2:21" x14ac:dyDescent="0.9">
      <c r="R5" s="72">
        <f>H14-'بنك الضمان '!C69</f>
        <v>0</v>
      </c>
    </row>
    <row r="6" spans="2:21" ht="21" thickBot="1" x14ac:dyDescent="0.95"/>
    <row r="7" spans="2:21" ht="27" thickBot="1" x14ac:dyDescent="1.2">
      <c r="B7" s="75" t="s">
        <v>321</v>
      </c>
      <c r="C7" s="76"/>
      <c r="E7" s="75" t="s">
        <v>73</v>
      </c>
      <c r="F7" s="77"/>
      <c r="G7" s="77"/>
      <c r="H7" s="76"/>
    </row>
    <row r="8" spans="2:21" x14ac:dyDescent="0.9">
      <c r="S8" s="27" t="s">
        <v>81</v>
      </c>
      <c r="T8" s="28">
        <v>0.56000000000000005</v>
      </c>
    </row>
    <row r="9" spans="2:21" x14ac:dyDescent="0.9">
      <c r="B9" s="20" t="s">
        <v>68</v>
      </c>
      <c r="C9" s="21" t="s">
        <v>24</v>
      </c>
      <c r="E9" s="20" t="s">
        <v>68</v>
      </c>
      <c r="F9" s="21" t="s">
        <v>74</v>
      </c>
      <c r="G9" s="21" t="s">
        <v>320</v>
      </c>
      <c r="H9" s="21" t="s">
        <v>319</v>
      </c>
      <c r="R9"/>
      <c r="S9"/>
      <c r="T9"/>
      <c r="U9"/>
    </row>
    <row r="10" spans="2:21" x14ac:dyDescent="0.9">
      <c r="B10" s="22" t="s">
        <v>25</v>
      </c>
      <c r="C10" s="23">
        <v>40</v>
      </c>
      <c r="G10" s="19"/>
      <c r="H10" s="19"/>
    </row>
    <row r="11" spans="2:21" x14ac:dyDescent="0.9">
      <c r="B11" s="22" t="s">
        <v>69</v>
      </c>
      <c r="C11" s="23">
        <f>الجدول2[[#Totals],[اسم العميل]]</f>
        <v>26</v>
      </c>
      <c r="E11" s="22" t="s">
        <v>75</v>
      </c>
      <c r="F11" s="23">
        <f>'بنك الضمان '!$C$67*0.76</f>
        <v>6025755.0759999994</v>
      </c>
      <c r="G11" s="23">
        <v>4048000</v>
      </c>
      <c r="H11" s="23">
        <f>F11-G11</f>
        <v>1977755.0759999994</v>
      </c>
    </row>
    <row r="12" spans="2:21" x14ac:dyDescent="0.9">
      <c r="B12" s="68" t="s">
        <v>71</v>
      </c>
      <c r="C12" s="69">
        <f>C11/C10</f>
        <v>0.65</v>
      </c>
      <c r="E12" s="22" t="s">
        <v>76</v>
      </c>
      <c r="F12" s="23">
        <f>'بنك الضمان '!$C$67*0.2</f>
        <v>1585725.02</v>
      </c>
      <c r="G12" s="23">
        <v>1000000</v>
      </c>
      <c r="H12" s="23">
        <f>F12-G12</f>
        <v>585725.02</v>
      </c>
    </row>
    <row r="13" spans="2:21" x14ac:dyDescent="0.9">
      <c r="B13" s="22" t="s">
        <v>322</v>
      </c>
      <c r="C13" s="23">
        <f>الجدول2[[#Totals],[قيمة الوحدة ]]</f>
        <v>15054819</v>
      </c>
      <c r="E13" s="22" t="s">
        <v>318</v>
      </c>
      <c r="F13" s="23">
        <f>'بنك الضمان '!$C$67*0.04</f>
        <v>317145.00400000002</v>
      </c>
      <c r="G13" s="23"/>
      <c r="H13" s="23">
        <f>F13-G13</f>
        <v>317145.00400000002</v>
      </c>
    </row>
    <row r="14" spans="2:21" x14ac:dyDescent="0.9">
      <c r="B14" s="22" t="s">
        <v>323</v>
      </c>
      <c r="C14" s="23">
        <f>SUMIFS(الجدول2[[قيمة الوحدة ]],الجدول2[تاريخ الحجز],"&lt;&gt;")</f>
        <v>19679098</v>
      </c>
      <c r="E14" s="25" t="s">
        <v>77</v>
      </c>
      <c r="F14" s="26">
        <f>SUM(F11:F13)</f>
        <v>7928625.0999999987</v>
      </c>
      <c r="G14" s="26">
        <f>SUM(G11:G13)</f>
        <v>5048000</v>
      </c>
      <c r="H14" s="26">
        <f>SUM(H11:H13)</f>
        <v>2880625.0999999996</v>
      </c>
    </row>
    <row r="15" spans="2:21" x14ac:dyDescent="0.9">
      <c r="B15" s="22" t="s">
        <v>22</v>
      </c>
      <c r="C15" s="23">
        <f>الجدول2[[#Totals],[إجمالي الدفعات المحصلة]]</f>
        <v>8415474.0999999996</v>
      </c>
      <c r="E15"/>
      <c r="F15" s="5"/>
    </row>
    <row r="16" spans="2:21" x14ac:dyDescent="0.9">
      <c r="B16" s="66" t="s">
        <v>324</v>
      </c>
      <c r="C16" s="67">
        <f>C15/C14</f>
        <v>0.42763515380633804</v>
      </c>
      <c r="E16"/>
      <c r="F16" s="5"/>
    </row>
    <row r="17" spans="2:13" x14ac:dyDescent="0.9">
      <c r="B17" s="66" t="s">
        <v>325</v>
      </c>
      <c r="C17" s="67">
        <f>C15/C13</f>
        <v>0.55898872646692066</v>
      </c>
      <c r="F17" s="17"/>
    </row>
    <row r="18" spans="2:13" customFormat="1" ht="21" thickBot="1" x14ac:dyDescent="0.95">
      <c r="J18" s="17"/>
      <c r="K18" s="17"/>
      <c r="L18" s="17"/>
      <c r="M18" s="17"/>
    </row>
    <row r="19" spans="2:13" ht="27" thickBot="1" x14ac:dyDescent="1.2">
      <c r="B19" s="70" t="s">
        <v>187</v>
      </c>
      <c r="C19" s="71"/>
      <c r="E19" s="75" t="s">
        <v>82</v>
      </c>
      <c r="F19" s="76"/>
    </row>
    <row r="21" spans="2:13" x14ac:dyDescent="0.9">
      <c r="B21" s="20" t="s">
        <v>68</v>
      </c>
      <c r="C21" s="21" t="s">
        <v>74</v>
      </c>
      <c r="E21" s="20" t="s">
        <v>68</v>
      </c>
      <c r="F21" s="21" t="s">
        <v>74</v>
      </c>
    </row>
    <row r="22" spans="2:13" x14ac:dyDescent="0.9">
      <c r="B22" s="22" t="s">
        <v>190</v>
      </c>
      <c r="C22" s="23">
        <v>17000000</v>
      </c>
      <c r="E22" s="22" t="s">
        <v>55</v>
      </c>
      <c r="F22" s="23">
        <f>الجدول2[[#Totals],[العمولة ]]</f>
        <v>509100.15942028997</v>
      </c>
    </row>
    <row r="23" spans="2:13" x14ac:dyDescent="0.9">
      <c r="B23" s="22" t="s">
        <v>188</v>
      </c>
      <c r="C23" s="23">
        <v>14419002</v>
      </c>
      <c r="E23" s="22" t="s">
        <v>83</v>
      </c>
      <c r="F23" s="23">
        <f>الجدول2[[#Totals],[مكافاة البيع ]]</f>
        <v>68138</v>
      </c>
    </row>
    <row r="24" spans="2:13" x14ac:dyDescent="0.9">
      <c r="B24" s="22" t="s">
        <v>189</v>
      </c>
      <c r="C24" s="23">
        <f>C22-C23</f>
        <v>2580998</v>
      </c>
      <c r="E24" s="22"/>
      <c r="F24" s="23"/>
    </row>
    <row r="25" spans="2:13" x14ac:dyDescent="0.9">
      <c r="B25" s="22" t="s">
        <v>191</v>
      </c>
      <c r="C25" s="24">
        <f>C23/C22</f>
        <v>0.84817658823529407</v>
      </c>
      <c r="E25" s="25" t="s">
        <v>77</v>
      </c>
      <c r="F25" s="26">
        <f>SUM(F22:F24)</f>
        <v>577238.15942029003</v>
      </c>
    </row>
  </sheetData>
  <mergeCells count="3">
    <mergeCell ref="B7:C7"/>
    <mergeCell ref="E19:F19"/>
    <mergeCell ref="E7:H7"/>
  </mergeCells>
  <conditionalFormatting sqref="C22:C2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{4278E99E-FCE5-40E4-94B8-1D42B8180EBD}</x14:id>
        </ext>
      </extLst>
    </cfRule>
  </conditionalFormatting>
  <conditionalFormatting sqref="F11:F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{564168C0-B309-44A8-A067-6E24CB823C31}</x14:id>
        </ext>
      </extLst>
    </cfRule>
  </conditionalFormatting>
  <conditionalFormatting sqref="F22:F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{E597A3B6-9B7D-4669-8914-75E9FEB53629}</x14:id>
        </ext>
      </extLst>
    </cfRule>
  </conditionalFormatting>
  <conditionalFormatting sqref="G11:H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{A653EA7C-7225-4786-9062-46B7ED7E2F24}</x14:id>
        </ext>
      </extLst>
    </cfRule>
  </conditionalFormatting>
  <pageMargins left="0.75" right="0.75" top="1" bottom="1" header="0.5" footer="0.5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8E99E-FCE5-40E4-94B8-1D42B8180E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C22:C24</xm:sqref>
        </x14:conditionalFormatting>
        <x14:conditionalFormatting xmlns:xm="http://schemas.microsoft.com/office/excel/2006/main">
          <x14:cfRule type="dataBar" id="{564168C0-B309-44A8-A067-6E24CB823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F11:F13</xm:sqref>
        </x14:conditionalFormatting>
        <x14:conditionalFormatting xmlns:xm="http://schemas.microsoft.com/office/excel/2006/main">
          <x14:cfRule type="dataBar" id="{E597A3B6-9B7D-4669-8914-75E9FEB536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F22:F24</xm:sqref>
        </x14:conditionalFormatting>
        <x14:conditionalFormatting xmlns:xm="http://schemas.microsoft.com/office/excel/2006/main">
          <x14:cfRule type="dataBar" id="{A653EA7C-7225-4786-9062-46B7ED7E2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G11:H13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9B98-5678-496D-BC29-5DB284E24F4A}">
  <dimension ref="A7:K69"/>
  <sheetViews>
    <sheetView rightToLeft="1" topLeftCell="A39" zoomScale="70" zoomScaleNormal="70" workbookViewId="0">
      <selection activeCell="I51" sqref="I51"/>
    </sheetView>
  </sheetViews>
  <sheetFormatPr defaultRowHeight="14.25" x14ac:dyDescent="0.45"/>
  <cols>
    <col min="2" max="2" width="26" bestFit="1" customWidth="1"/>
    <col min="3" max="3" width="26.33203125" bestFit="1" customWidth="1"/>
    <col min="4" max="4" width="5.9296875" bestFit="1" customWidth="1"/>
    <col min="5" max="5" width="25.796875" bestFit="1" customWidth="1"/>
    <col min="6" max="6" width="98.1328125" bestFit="1" customWidth="1"/>
    <col min="7" max="7" width="18.73046875" bestFit="1" customWidth="1"/>
    <col min="8" max="8" width="10.1328125" customWidth="1"/>
    <col min="9" max="9" width="12.265625" bestFit="1" customWidth="1"/>
    <col min="10" max="10" width="11.6640625" bestFit="1" customWidth="1"/>
    <col min="11" max="11" width="14.86328125" bestFit="1" customWidth="1"/>
    <col min="258" max="258" width="23" customWidth="1"/>
    <col min="259" max="259" width="22.86328125" customWidth="1"/>
    <col min="260" max="260" width="5.46484375" customWidth="1"/>
    <col min="261" max="261" width="30.73046875" customWidth="1"/>
    <col min="262" max="262" width="56.3984375" customWidth="1"/>
    <col min="263" max="263" width="16.73046875" customWidth="1"/>
    <col min="265" max="265" width="11.265625" customWidth="1"/>
    <col min="266" max="266" width="10.3984375" customWidth="1"/>
    <col min="514" max="514" width="23" customWidth="1"/>
    <col min="515" max="515" width="22.86328125" customWidth="1"/>
    <col min="516" max="516" width="5.46484375" customWidth="1"/>
    <col min="517" max="517" width="30.73046875" customWidth="1"/>
    <col min="518" max="518" width="56.3984375" customWidth="1"/>
    <col min="519" max="519" width="16.73046875" customWidth="1"/>
    <col min="521" max="521" width="11.265625" customWidth="1"/>
    <col min="522" max="522" width="10.3984375" customWidth="1"/>
    <col min="770" max="770" width="23" customWidth="1"/>
    <col min="771" max="771" width="22.86328125" customWidth="1"/>
    <col min="772" max="772" width="5.46484375" customWidth="1"/>
    <col min="773" max="773" width="30.73046875" customWidth="1"/>
    <col min="774" max="774" width="56.3984375" customWidth="1"/>
    <col min="775" max="775" width="16.73046875" customWidth="1"/>
    <col min="777" max="777" width="11.265625" customWidth="1"/>
    <col min="778" max="778" width="10.3984375" customWidth="1"/>
    <col min="1026" max="1026" width="23" customWidth="1"/>
    <col min="1027" max="1027" width="22.86328125" customWidth="1"/>
    <col min="1028" max="1028" width="5.46484375" customWidth="1"/>
    <col min="1029" max="1029" width="30.73046875" customWidth="1"/>
    <col min="1030" max="1030" width="56.3984375" customWidth="1"/>
    <col min="1031" max="1031" width="16.73046875" customWidth="1"/>
    <col min="1033" max="1033" width="11.265625" customWidth="1"/>
    <col min="1034" max="1034" width="10.3984375" customWidth="1"/>
    <col min="1282" max="1282" width="23" customWidth="1"/>
    <col min="1283" max="1283" width="22.86328125" customWidth="1"/>
    <col min="1284" max="1284" width="5.46484375" customWidth="1"/>
    <col min="1285" max="1285" width="30.73046875" customWidth="1"/>
    <col min="1286" max="1286" width="56.3984375" customWidth="1"/>
    <col min="1287" max="1287" width="16.73046875" customWidth="1"/>
    <col min="1289" max="1289" width="11.265625" customWidth="1"/>
    <col min="1290" max="1290" width="10.3984375" customWidth="1"/>
    <col min="1538" max="1538" width="23" customWidth="1"/>
    <col min="1539" max="1539" width="22.86328125" customWidth="1"/>
    <col min="1540" max="1540" width="5.46484375" customWidth="1"/>
    <col min="1541" max="1541" width="30.73046875" customWidth="1"/>
    <col min="1542" max="1542" width="56.3984375" customWidth="1"/>
    <col min="1543" max="1543" width="16.73046875" customWidth="1"/>
    <col min="1545" max="1545" width="11.265625" customWidth="1"/>
    <col min="1546" max="1546" width="10.3984375" customWidth="1"/>
    <col min="1794" max="1794" width="23" customWidth="1"/>
    <col min="1795" max="1795" width="22.86328125" customWidth="1"/>
    <col min="1796" max="1796" width="5.46484375" customWidth="1"/>
    <col min="1797" max="1797" width="30.73046875" customWidth="1"/>
    <col min="1798" max="1798" width="56.3984375" customWidth="1"/>
    <col min="1799" max="1799" width="16.73046875" customWidth="1"/>
    <col min="1801" max="1801" width="11.265625" customWidth="1"/>
    <col min="1802" max="1802" width="10.3984375" customWidth="1"/>
    <col min="2050" max="2050" width="23" customWidth="1"/>
    <col min="2051" max="2051" width="22.86328125" customWidth="1"/>
    <col min="2052" max="2052" width="5.46484375" customWidth="1"/>
    <col min="2053" max="2053" width="30.73046875" customWidth="1"/>
    <col min="2054" max="2054" width="56.3984375" customWidth="1"/>
    <col min="2055" max="2055" width="16.73046875" customWidth="1"/>
    <col min="2057" max="2057" width="11.265625" customWidth="1"/>
    <col min="2058" max="2058" width="10.3984375" customWidth="1"/>
    <col min="2306" max="2306" width="23" customWidth="1"/>
    <col min="2307" max="2307" width="22.86328125" customWidth="1"/>
    <col min="2308" max="2308" width="5.46484375" customWidth="1"/>
    <col min="2309" max="2309" width="30.73046875" customWidth="1"/>
    <col min="2310" max="2310" width="56.3984375" customWidth="1"/>
    <col min="2311" max="2311" width="16.73046875" customWidth="1"/>
    <col min="2313" max="2313" width="11.265625" customWidth="1"/>
    <col min="2314" max="2314" width="10.3984375" customWidth="1"/>
    <col min="2562" max="2562" width="23" customWidth="1"/>
    <col min="2563" max="2563" width="22.86328125" customWidth="1"/>
    <col min="2564" max="2564" width="5.46484375" customWidth="1"/>
    <col min="2565" max="2565" width="30.73046875" customWidth="1"/>
    <col min="2566" max="2566" width="56.3984375" customWidth="1"/>
    <col min="2567" max="2567" width="16.73046875" customWidth="1"/>
    <col min="2569" max="2569" width="11.265625" customWidth="1"/>
    <col min="2570" max="2570" width="10.3984375" customWidth="1"/>
    <col min="2818" max="2818" width="23" customWidth="1"/>
    <col min="2819" max="2819" width="22.86328125" customWidth="1"/>
    <col min="2820" max="2820" width="5.46484375" customWidth="1"/>
    <col min="2821" max="2821" width="30.73046875" customWidth="1"/>
    <col min="2822" max="2822" width="56.3984375" customWidth="1"/>
    <col min="2823" max="2823" width="16.73046875" customWidth="1"/>
    <col min="2825" max="2825" width="11.265625" customWidth="1"/>
    <col min="2826" max="2826" width="10.3984375" customWidth="1"/>
    <col min="3074" max="3074" width="23" customWidth="1"/>
    <col min="3075" max="3075" width="22.86328125" customWidth="1"/>
    <col min="3076" max="3076" width="5.46484375" customWidth="1"/>
    <col min="3077" max="3077" width="30.73046875" customWidth="1"/>
    <col min="3078" max="3078" width="56.3984375" customWidth="1"/>
    <col min="3079" max="3079" width="16.73046875" customWidth="1"/>
    <col min="3081" max="3081" width="11.265625" customWidth="1"/>
    <col min="3082" max="3082" width="10.3984375" customWidth="1"/>
    <col min="3330" max="3330" width="23" customWidth="1"/>
    <col min="3331" max="3331" width="22.86328125" customWidth="1"/>
    <col min="3332" max="3332" width="5.46484375" customWidth="1"/>
    <col min="3333" max="3333" width="30.73046875" customWidth="1"/>
    <col min="3334" max="3334" width="56.3984375" customWidth="1"/>
    <col min="3335" max="3335" width="16.73046875" customWidth="1"/>
    <col min="3337" max="3337" width="11.265625" customWidth="1"/>
    <col min="3338" max="3338" width="10.3984375" customWidth="1"/>
    <col min="3586" max="3586" width="23" customWidth="1"/>
    <col min="3587" max="3587" width="22.86328125" customWidth="1"/>
    <col min="3588" max="3588" width="5.46484375" customWidth="1"/>
    <col min="3589" max="3589" width="30.73046875" customWidth="1"/>
    <col min="3590" max="3590" width="56.3984375" customWidth="1"/>
    <col min="3591" max="3591" width="16.73046875" customWidth="1"/>
    <col min="3593" max="3593" width="11.265625" customWidth="1"/>
    <col min="3594" max="3594" width="10.3984375" customWidth="1"/>
    <col min="3842" max="3842" width="23" customWidth="1"/>
    <col min="3843" max="3843" width="22.86328125" customWidth="1"/>
    <col min="3844" max="3844" width="5.46484375" customWidth="1"/>
    <col min="3845" max="3845" width="30.73046875" customWidth="1"/>
    <col min="3846" max="3846" width="56.3984375" customWidth="1"/>
    <col min="3847" max="3847" width="16.73046875" customWidth="1"/>
    <col min="3849" max="3849" width="11.265625" customWidth="1"/>
    <col min="3850" max="3850" width="10.3984375" customWidth="1"/>
    <col min="4098" max="4098" width="23" customWidth="1"/>
    <col min="4099" max="4099" width="22.86328125" customWidth="1"/>
    <col min="4100" max="4100" width="5.46484375" customWidth="1"/>
    <col min="4101" max="4101" width="30.73046875" customWidth="1"/>
    <col min="4102" max="4102" width="56.3984375" customWidth="1"/>
    <col min="4103" max="4103" width="16.73046875" customWidth="1"/>
    <col min="4105" max="4105" width="11.265625" customWidth="1"/>
    <col min="4106" max="4106" width="10.3984375" customWidth="1"/>
    <col min="4354" max="4354" width="23" customWidth="1"/>
    <col min="4355" max="4355" width="22.86328125" customWidth="1"/>
    <col min="4356" max="4356" width="5.46484375" customWidth="1"/>
    <col min="4357" max="4357" width="30.73046875" customWidth="1"/>
    <col min="4358" max="4358" width="56.3984375" customWidth="1"/>
    <col min="4359" max="4359" width="16.73046875" customWidth="1"/>
    <col min="4361" max="4361" width="11.265625" customWidth="1"/>
    <col min="4362" max="4362" width="10.3984375" customWidth="1"/>
    <col min="4610" max="4610" width="23" customWidth="1"/>
    <col min="4611" max="4611" width="22.86328125" customWidth="1"/>
    <col min="4612" max="4612" width="5.46484375" customWidth="1"/>
    <col min="4613" max="4613" width="30.73046875" customWidth="1"/>
    <col min="4614" max="4614" width="56.3984375" customWidth="1"/>
    <col min="4615" max="4615" width="16.73046875" customWidth="1"/>
    <col min="4617" max="4617" width="11.265625" customWidth="1"/>
    <col min="4618" max="4618" width="10.3984375" customWidth="1"/>
    <col min="4866" max="4866" width="23" customWidth="1"/>
    <col min="4867" max="4867" width="22.86328125" customWidth="1"/>
    <col min="4868" max="4868" width="5.46484375" customWidth="1"/>
    <col min="4869" max="4869" width="30.73046875" customWidth="1"/>
    <col min="4870" max="4870" width="56.3984375" customWidth="1"/>
    <col min="4871" max="4871" width="16.73046875" customWidth="1"/>
    <col min="4873" max="4873" width="11.265625" customWidth="1"/>
    <col min="4874" max="4874" width="10.3984375" customWidth="1"/>
    <col min="5122" max="5122" width="23" customWidth="1"/>
    <col min="5123" max="5123" width="22.86328125" customWidth="1"/>
    <col min="5124" max="5124" width="5.46484375" customWidth="1"/>
    <col min="5125" max="5125" width="30.73046875" customWidth="1"/>
    <col min="5126" max="5126" width="56.3984375" customWidth="1"/>
    <col min="5127" max="5127" width="16.73046875" customWidth="1"/>
    <col min="5129" max="5129" width="11.265625" customWidth="1"/>
    <col min="5130" max="5130" width="10.3984375" customWidth="1"/>
    <col min="5378" max="5378" width="23" customWidth="1"/>
    <col min="5379" max="5379" width="22.86328125" customWidth="1"/>
    <col min="5380" max="5380" width="5.46484375" customWidth="1"/>
    <col min="5381" max="5381" width="30.73046875" customWidth="1"/>
    <col min="5382" max="5382" width="56.3984375" customWidth="1"/>
    <col min="5383" max="5383" width="16.73046875" customWidth="1"/>
    <col min="5385" max="5385" width="11.265625" customWidth="1"/>
    <col min="5386" max="5386" width="10.3984375" customWidth="1"/>
    <col min="5634" max="5634" width="23" customWidth="1"/>
    <col min="5635" max="5635" width="22.86328125" customWidth="1"/>
    <col min="5636" max="5636" width="5.46484375" customWidth="1"/>
    <col min="5637" max="5637" width="30.73046875" customWidth="1"/>
    <col min="5638" max="5638" width="56.3984375" customWidth="1"/>
    <col min="5639" max="5639" width="16.73046875" customWidth="1"/>
    <col min="5641" max="5641" width="11.265625" customWidth="1"/>
    <col min="5642" max="5642" width="10.3984375" customWidth="1"/>
    <col min="5890" max="5890" width="23" customWidth="1"/>
    <col min="5891" max="5891" width="22.86328125" customWidth="1"/>
    <col min="5892" max="5892" width="5.46484375" customWidth="1"/>
    <col min="5893" max="5893" width="30.73046875" customWidth="1"/>
    <col min="5894" max="5894" width="56.3984375" customWidth="1"/>
    <col min="5895" max="5895" width="16.73046875" customWidth="1"/>
    <col min="5897" max="5897" width="11.265625" customWidth="1"/>
    <col min="5898" max="5898" width="10.3984375" customWidth="1"/>
    <col min="6146" max="6146" width="23" customWidth="1"/>
    <col min="6147" max="6147" width="22.86328125" customWidth="1"/>
    <col min="6148" max="6148" width="5.46484375" customWidth="1"/>
    <col min="6149" max="6149" width="30.73046875" customWidth="1"/>
    <col min="6150" max="6150" width="56.3984375" customWidth="1"/>
    <col min="6151" max="6151" width="16.73046875" customWidth="1"/>
    <col min="6153" max="6153" width="11.265625" customWidth="1"/>
    <col min="6154" max="6154" width="10.3984375" customWidth="1"/>
    <col min="6402" max="6402" width="23" customWidth="1"/>
    <col min="6403" max="6403" width="22.86328125" customWidth="1"/>
    <col min="6404" max="6404" width="5.46484375" customWidth="1"/>
    <col min="6405" max="6405" width="30.73046875" customWidth="1"/>
    <col min="6406" max="6406" width="56.3984375" customWidth="1"/>
    <col min="6407" max="6407" width="16.73046875" customWidth="1"/>
    <col min="6409" max="6409" width="11.265625" customWidth="1"/>
    <col min="6410" max="6410" width="10.3984375" customWidth="1"/>
    <col min="6658" max="6658" width="23" customWidth="1"/>
    <col min="6659" max="6659" width="22.86328125" customWidth="1"/>
    <col min="6660" max="6660" width="5.46484375" customWidth="1"/>
    <col min="6661" max="6661" width="30.73046875" customWidth="1"/>
    <col min="6662" max="6662" width="56.3984375" customWidth="1"/>
    <col min="6663" max="6663" width="16.73046875" customWidth="1"/>
    <col min="6665" max="6665" width="11.265625" customWidth="1"/>
    <col min="6666" max="6666" width="10.3984375" customWidth="1"/>
    <col min="6914" max="6914" width="23" customWidth="1"/>
    <col min="6915" max="6915" width="22.86328125" customWidth="1"/>
    <col min="6916" max="6916" width="5.46484375" customWidth="1"/>
    <col min="6917" max="6917" width="30.73046875" customWidth="1"/>
    <col min="6918" max="6918" width="56.3984375" customWidth="1"/>
    <col min="6919" max="6919" width="16.73046875" customWidth="1"/>
    <col min="6921" max="6921" width="11.265625" customWidth="1"/>
    <col min="6922" max="6922" width="10.3984375" customWidth="1"/>
    <col min="7170" max="7170" width="23" customWidth="1"/>
    <col min="7171" max="7171" width="22.86328125" customWidth="1"/>
    <col min="7172" max="7172" width="5.46484375" customWidth="1"/>
    <col min="7173" max="7173" width="30.73046875" customWidth="1"/>
    <col min="7174" max="7174" width="56.3984375" customWidth="1"/>
    <col min="7175" max="7175" width="16.73046875" customWidth="1"/>
    <col min="7177" max="7177" width="11.265625" customWidth="1"/>
    <col min="7178" max="7178" width="10.3984375" customWidth="1"/>
    <col min="7426" max="7426" width="23" customWidth="1"/>
    <col min="7427" max="7427" width="22.86328125" customWidth="1"/>
    <col min="7428" max="7428" width="5.46484375" customWidth="1"/>
    <col min="7429" max="7429" width="30.73046875" customWidth="1"/>
    <col min="7430" max="7430" width="56.3984375" customWidth="1"/>
    <col min="7431" max="7431" width="16.73046875" customWidth="1"/>
    <col min="7433" max="7433" width="11.265625" customWidth="1"/>
    <col min="7434" max="7434" width="10.3984375" customWidth="1"/>
    <col min="7682" max="7682" width="23" customWidth="1"/>
    <col min="7683" max="7683" width="22.86328125" customWidth="1"/>
    <col min="7684" max="7684" width="5.46484375" customWidth="1"/>
    <col min="7685" max="7685" width="30.73046875" customWidth="1"/>
    <col min="7686" max="7686" width="56.3984375" customWidth="1"/>
    <col min="7687" max="7687" width="16.73046875" customWidth="1"/>
    <col min="7689" max="7689" width="11.265625" customWidth="1"/>
    <col min="7690" max="7690" width="10.3984375" customWidth="1"/>
    <col min="7938" max="7938" width="23" customWidth="1"/>
    <col min="7939" max="7939" width="22.86328125" customWidth="1"/>
    <col min="7940" max="7940" width="5.46484375" customWidth="1"/>
    <col min="7941" max="7941" width="30.73046875" customWidth="1"/>
    <col min="7942" max="7942" width="56.3984375" customWidth="1"/>
    <col min="7943" max="7943" width="16.73046875" customWidth="1"/>
    <col min="7945" max="7945" width="11.265625" customWidth="1"/>
    <col min="7946" max="7946" width="10.3984375" customWidth="1"/>
    <col min="8194" max="8194" width="23" customWidth="1"/>
    <col min="8195" max="8195" width="22.86328125" customWidth="1"/>
    <col min="8196" max="8196" width="5.46484375" customWidth="1"/>
    <col min="8197" max="8197" width="30.73046875" customWidth="1"/>
    <col min="8198" max="8198" width="56.3984375" customWidth="1"/>
    <col min="8199" max="8199" width="16.73046875" customWidth="1"/>
    <col min="8201" max="8201" width="11.265625" customWidth="1"/>
    <col min="8202" max="8202" width="10.3984375" customWidth="1"/>
    <col min="8450" max="8450" width="23" customWidth="1"/>
    <col min="8451" max="8451" width="22.86328125" customWidth="1"/>
    <col min="8452" max="8452" width="5.46484375" customWidth="1"/>
    <col min="8453" max="8453" width="30.73046875" customWidth="1"/>
    <col min="8454" max="8454" width="56.3984375" customWidth="1"/>
    <col min="8455" max="8455" width="16.73046875" customWidth="1"/>
    <col min="8457" max="8457" width="11.265625" customWidth="1"/>
    <col min="8458" max="8458" width="10.3984375" customWidth="1"/>
    <col min="8706" max="8706" width="23" customWidth="1"/>
    <col min="8707" max="8707" width="22.86328125" customWidth="1"/>
    <col min="8708" max="8708" width="5.46484375" customWidth="1"/>
    <col min="8709" max="8709" width="30.73046875" customWidth="1"/>
    <col min="8710" max="8710" width="56.3984375" customWidth="1"/>
    <col min="8711" max="8711" width="16.73046875" customWidth="1"/>
    <col min="8713" max="8713" width="11.265625" customWidth="1"/>
    <col min="8714" max="8714" width="10.3984375" customWidth="1"/>
    <col min="8962" max="8962" width="23" customWidth="1"/>
    <col min="8963" max="8963" width="22.86328125" customWidth="1"/>
    <col min="8964" max="8964" width="5.46484375" customWidth="1"/>
    <col min="8965" max="8965" width="30.73046875" customWidth="1"/>
    <col min="8966" max="8966" width="56.3984375" customWidth="1"/>
    <col min="8967" max="8967" width="16.73046875" customWidth="1"/>
    <col min="8969" max="8969" width="11.265625" customWidth="1"/>
    <col min="8970" max="8970" width="10.3984375" customWidth="1"/>
    <col min="9218" max="9218" width="23" customWidth="1"/>
    <col min="9219" max="9219" width="22.86328125" customWidth="1"/>
    <col min="9220" max="9220" width="5.46484375" customWidth="1"/>
    <col min="9221" max="9221" width="30.73046875" customWidth="1"/>
    <col min="9222" max="9222" width="56.3984375" customWidth="1"/>
    <col min="9223" max="9223" width="16.73046875" customWidth="1"/>
    <col min="9225" max="9225" width="11.265625" customWidth="1"/>
    <col min="9226" max="9226" width="10.3984375" customWidth="1"/>
    <col min="9474" max="9474" width="23" customWidth="1"/>
    <col min="9475" max="9475" width="22.86328125" customWidth="1"/>
    <col min="9476" max="9476" width="5.46484375" customWidth="1"/>
    <col min="9477" max="9477" width="30.73046875" customWidth="1"/>
    <col min="9478" max="9478" width="56.3984375" customWidth="1"/>
    <col min="9479" max="9479" width="16.73046875" customWidth="1"/>
    <col min="9481" max="9481" width="11.265625" customWidth="1"/>
    <col min="9482" max="9482" width="10.3984375" customWidth="1"/>
    <col min="9730" max="9730" width="23" customWidth="1"/>
    <col min="9731" max="9731" width="22.86328125" customWidth="1"/>
    <col min="9732" max="9732" width="5.46484375" customWidth="1"/>
    <col min="9733" max="9733" width="30.73046875" customWidth="1"/>
    <col min="9734" max="9734" width="56.3984375" customWidth="1"/>
    <col min="9735" max="9735" width="16.73046875" customWidth="1"/>
    <col min="9737" max="9737" width="11.265625" customWidth="1"/>
    <col min="9738" max="9738" width="10.3984375" customWidth="1"/>
    <col min="9986" max="9986" width="23" customWidth="1"/>
    <col min="9987" max="9987" width="22.86328125" customWidth="1"/>
    <col min="9988" max="9988" width="5.46484375" customWidth="1"/>
    <col min="9989" max="9989" width="30.73046875" customWidth="1"/>
    <col min="9990" max="9990" width="56.3984375" customWidth="1"/>
    <col min="9991" max="9991" width="16.73046875" customWidth="1"/>
    <col min="9993" max="9993" width="11.265625" customWidth="1"/>
    <col min="9994" max="9994" width="10.3984375" customWidth="1"/>
    <col min="10242" max="10242" width="23" customWidth="1"/>
    <col min="10243" max="10243" width="22.86328125" customWidth="1"/>
    <col min="10244" max="10244" width="5.46484375" customWidth="1"/>
    <col min="10245" max="10245" width="30.73046875" customWidth="1"/>
    <col min="10246" max="10246" width="56.3984375" customWidth="1"/>
    <col min="10247" max="10247" width="16.73046875" customWidth="1"/>
    <col min="10249" max="10249" width="11.265625" customWidth="1"/>
    <col min="10250" max="10250" width="10.3984375" customWidth="1"/>
    <col min="10498" max="10498" width="23" customWidth="1"/>
    <col min="10499" max="10499" width="22.86328125" customWidth="1"/>
    <col min="10500" max="10500" width="5.46484375" customWidth="1"/>
    <col min="10501" max="10501" width="30.73046875" customWidth="1"/>
    <col min="10502" max="10502" width="56.3984375" customWidth="1"/>
    <col min="10503" max="10503" width="16.73046875" customWidth="1"/>
    <col min="10505" max="10505" width="11.265625" customWidth="1"/>
    <col min="10506" max="10506" width="10.3984375" customWidth="1"/>
    <col min="10754" max="10754" width="23" customWidth="1"/>
    <col min="10755" max="10755" width="22.86328125" customWidth="1"/>
    <col min="10756" max="10756" width="5.46484375" customWidth="1"/>
    <col min="10757" max="10757" width="30.73046875" customWidth="1"/>
    <col min="10758" max="10758" width="56.3984375" customWidth="1"/>
    <col min="10759" max="10759" width="16.73046875" customWidth="1"/>
    <col min="10761" max="10761" width="11.265625" customWidth="1"/>
    <col min="10762" max="10762" width="10.3984375" customWidth="1"/>
    <col min="11010" max="11010" width="23" customWidth="1"/>
    <col min="11011" max="11011" width="22.86328125" customWidth="1"/>
    <col min="11012" max="11012" width="5.46484375" customWidth="1"/>
    <col min="11013" max="11013" width="30.73046875" customWidth="1"/>
    <col min="11014" max="11014" width="56.3984375" customWidth="1"/>
    <col min="11015" max="11015" width="16.73046875" customWidth="1"/>
    <col min="11017" max="11017" width="11.265625" customWidth="1"/>
    <col min="11018" max="11018" width="10.3984375" customWidth="1"/>
    <col min="11266" max="11266" width="23" customWidth="1"/>
    <col min="11267" max="11267" width="22.86328125" customWidth="1"/>
    <col min="11268" max="11268" width="5.46484375" customWidth="1"/>
    <col min="11269" max="11269" width="30.73046875" customWidth="1"/>
    <col min="11270" max="11270" width="56.3984375" customWidth="1"/>
    <col min="11271" max="11271" width="16.73046875" customWidth="1"/>
    <col min="11273" max="11273" width="11.265625" customWidth="1"/>
    <col min="11274" max="11274" width="10.3984375" customWidth="1"/>
    <col min="11522" max="11522" width="23" customWidth="1"/>
    <col min="11523" max="11523" width="22.86328125" customWidth="1"/>
    <col min="11524" max="11524" width="5.46484375" customWidth="1"/>
    <col min="11525" max="11525" width="30.73046875" customWidth="1"/>
    <col min="11526" max="11526" width="56.3984375" customWidth="1"/>
    <col min="11527" max="11527" width="16.73046875" customWidth="1"/>
    <col min="11529" max="11529" width="11.265625" customWidth="1"/>
    <col min="11530" max="11530" width="10.3984375" customWidth="1"/>
    <col min="11778" max="11778" width="23" customWidth="1"/>
    <col min="11779" max="11779" width="22.86328125" customWidth="1"/>
    <col min="11780" max="11780" width="5.46484375" customWidth="1"/>
    <col min="11781" max="11781" width="30.73046875" customWidth="1"/>
    <col min="11782" max="11782" width="56.3984375" customWidth="1"/>
    <col min="11783" max="11783" width="16.73046875" customWidth="1"/>
    <col min="11785" max="11785" width="11.265625" customWidth="1"/>
    <col min="11786" max="11786" width="10.3984375" customWidth="1"/>
    <col min="12034" max="12034" width="23" customWidth="1"/>
    <col min="12035" max="12035" width="22.86328125" customWidth="1"/>
    <col min="12036" max="12036" width="5.46484375" customWidth="1"/>
    <col min="12037" max="12037" width="30.73046875" customWidth="1"/>
    <col min="12038" max="12038" width="56.3984375" customWidth="1"/>
    <col min="12039" max="12039" width="16.73046875" customWidth="1"/>
    <col min="12041" max="12041" width="11.265625" customWidth="1"/>
    <col min="12042" max="12042" width="10.3984375" customWidth="1"/>
    <col min="12290" max="12290" width="23" customWidth="1"/>
    <col min="12291" max="12291" width="22.86328125" customWidth="1"/>
    <col min="12292" max="12292" width="5.46484375" customWidth="1"/>
    <col min="12293" max="12293" width="30.73046875" customWidth="1"/>
    <col min="12294" max="12294" width="56.3984375" customWidth="1"/>
    <col min="12295" max="12295" width="16.73046875" customWidth="1"/>
    <col min="12297" max="12297" width="11.265625" customWidth="1"/>
    <col min="12298" max="12298" width="10.3984375" customWidth="1"/>
    <col min="12546" max="12546" width="23" customWidth="1"/>
    <col min="12547" max="12547" width="22.86328125" customWidth="1"/>
    <col min="12548" max="12548" width="5.46484375" customWidth="1"/>
    <col min="12549" max="12549" width="30.73046875" customWidth="1"/>
    <col min="12550" max="12550" width="56.3984375" customWidth="1"/>
    <col min="12551" max="12551" width="16.73046875" customWidth="1"/>
    <col min="12553" max="12553" width="11.265625" customWidth="1"/>
    <col min="12554" max="12554" width="10.3984375" customWidth="1"/>
    <col min="12802" max="12802" width="23" customWidth="1"/>
    <col min="12803" max="12803" width="22.86328125" customWidth="1"/>
    <col min="12804" max="12804" width="5.46484375" customWidth="1"/>
    <col min="12805" max="12805" width="30.73046875" customWidth="1"/>
    <col min="12806" max="12806" width="56.3984375" customWidth="1"/>
    <col min="12807" max="12807" width="16.73046875" customWidth="1"/>
    <col min="12809" max="12809" width="11.265625" customWidth="1"/>
    <col min="12810" max="12810" width="10.3984375" customWidth="1"/>
    <col min="13058" max="13058" width="23" customWidth="1"/>
    <col min="13059" max="13059" width="22.86328125" customWidth="1"/>
    <col min="13060" max="13060" width="5.46484375" customWidth="1"/>
    <col min="13061" max="13061" width="30.73046875" customWidth="1"/>
    <col min="13062" max="13062" width="56.3984375" customWidth="1"/>
    <col min="13063" max="13063" width="16.73046875" customWidth="1"/>
    <col min="13065" max="13065" width="11.265625" customWidth="1"/>
    <col min="13066" max="13066" width="10.3984375" customWidth="1"/>
    <col min="13314" max="13314" width="23" customWidth="1"/>
    <col min="13315" max="13315" width="22.86328125" customWidth="1"/>
    <col min="13316" max="13316" width="5.46484375" customWidth="1"/>
    <col min="13317" max="13317" width="30.73046875" customWidth="1"/>
    <col min="13318" max="13318" width="56.3984375" customWidth="1"/>
    <col min="13319" max="13319" width="16.73046875" customWidth="1"/>
    <col min="13321" max="13321" width="11.265625" customWidth="1"/>
    <col min="13322" max="13322" width="10.3984375" customWidth="1"/>
    <col min="13570" max="13570" width="23" customWidth="1"/>
    <col min="13571" max="13571" width="22.86328125" customWidth="1"/>
    <col min="13572" max="13572" width="5.46484375" customWidth="1"/>
    <col min="13573" max="13573" width="30.73046875" customWidth="1"/>
    <col min="13574" max="13574" width="56.3984375" customWidth="1"/>
    <col min="13575" max="13575" width="16.73046875" customWidth="1"/>
    <col min="13577" max="13577" width="11.265625" customWidth="1"/>
    <col min="13578" max="13578" width="10.3984375" customWidth="1"/>
    <col min="13826" max="13826" width="23" customWidth="1"/>
    <col min="13827" max="13827" width="22.86328125" customWidth="1"/>
    <col min="13828" max="13828" width="5.46484375" customWidth="1"/>
    <col min="13829" max="13829" width="30.73046875" customWidth="1"/>
    <col min="13830" max="13830" width="56.3984375" customWidth="1"/>
    <col min="13831" max="13831" width="16.73046875" customWidth="1"/>
    <col min="13833" max="13833" width="11.265625" customWidth="1"/>
    <col min="13834" max="13834" width="10.3984375" customWidth="1"/>
    <col min="14082" max="14082" width="23" customWidth="1"/>
    <col min="14083" max="14083" width="22.86328125" customWidth="1"/>
    <col min="14084" max="14084" width="5.46484375" customWidth="1"/>
    <col min="14085" max="14085" width="30.73046875" customWidth="1"/>
    <col min="14086" max="14086" width="56.3984375" customWidth="1"/>
    <col min="14087" max="14087" width="16.73046875" customWidth="1"/>
    <col min="14089" max="14089" width="11.265625" customWidth="1"/>
    <col min="14090" max="14090" width="10.3984375" customWidth="1"/>
    <col min="14338" max="14338" width="23" customWidth="1"/>
    <col min="14339" max="14339" width="22.86328125" customWidth="1"/>
    <col min="14340" max="14340" width="5.46484375" customWidth="1"/>
    <col min="14341" max="14341" width="30.73046875" customWidth="1"/>
    <col min="14342" max="14342" width="56.3984375" customWidth="1"/>
    <col min="14343" max="14343" width="16.73046875" customWidth="1"/>
    <col min="14345" max="14345" width="11.265625" customWidth="1"/>
    <col min="14346" max="14346" width="10.3984375" customWidth="1"/>
    <col min="14594" max="14594" width="23" customWidth="1"/>
    <col min="14595" max="14595" width="22.86328125" customWidth="1"/>
    <col min="14596" max="14596" width="5.46484375" customWidth="1"/>
    <col min="14597" max="14597" width="30.73046875" customWidth="1"/>
    <col min="14598" max="14598" width="56.3984375" customWidth="1"/>
    <col min="14599" max="14599" width="16.73046875" customWidth="1"/>
    <col min="14601" max="14601" width="11.265625" customWidth="1"/>
    <col min="14602" max="14602" width="10.3984375" customWidth="1"/>
    <col min="14850" max="14850" width="23" customWidth="1"/>
    <col min="14851" max="14851" width="22.86328125" customWidth="1"/>
    <col min="14852" max="14852" width="5.46484375" customWidth="1"/>
    <col min="14853" max="14853" width="30.73046875" customWidth="1"/>
    <col min="14854" max="14854" width="56.3984375" customWidth="1"/>
    <col min="14855" max="14855" width="16.73046875" customWidth="1"/>
    <col min="14857" max="14857" width="11.265625" customWidth="1"/>
    <col min="14858" max="14858" width="10.3984375" customWidth="1"/>
    <col min="15106" max="15106" width="23" customWidth="1"/>
    <col min="15107" max="15107" width="22.86328125" customWidth="1"/>
    <col min="15108" max="15108" width="5.46484375" customWidth="1"/>
    <col min="15109" max="15109" width="30.73046875" customWidth="1"/>
    <col min="15110" max="15110" width="56.3984375" customWidth="1"/>
    <col min="15111" max="15111" width="16.73046875" customWidth="1"/>
    <col min="15113" max="15113" width="11.265625" customWidth="1"/>
    <col min="15114" max="15114" width="10.3984375" customWidth="1"/>
    <col min="15362" max="15362" width="23" customWidth="1"/>
    <col min="15363" max="15363" width="22.86328125" customWidth="1"/>
    <col min="15364" max="15364" width="5.46484375" customWidth="1"/>
    <col min="15365" max="15365" width="30.73046875" customWidth="1"/>
    <col min="15366" max="15366" width="56.3984375" customWidth="1"/>
    <col min="15367" max="15367" width="16.73046875" customWidth="1"/>
    <col min="15369" max="15369" width="11.265625" customWidth="1"/>
    <col min="15370" max="15370" width="10.3984375" customWidth="1"/>
    <col min="15618" max="15618" width="23" customWidth="1"/>
    <col min="15619" max="15619" width="22.86328125" customWidth="1"/>
    <col min="15620" max="15620" width="5.46484375" customWidth="1"/>
    <col min="15621" max="15621" width="30.73046875" customWidth="1"/>
    <col min="15622" max="15622" width="56.3984375" customWidth="1"/>
    <col min="15623" max="15623" width="16.73046875" customWidth="1"/>
    <col min="15625" max="15625" width="11.265625" customWidth="1"/>
    <col min="15626" max="15626" width="10.3984375" customWidth="1"/>
    <col min="15874" max="15874" width="23" customWidth="1"/>
    <col min="15875" max="15875" width="22.86328125" customWidth="1"/>
    <col min="15876" max="15876" width="5.46484375" customWidth="1"/>
    <col min="15877" max="15877" width="30.73046875" customWidth="1"/>
    <col min="15878" max="15878" width="56.3984375" customWidth="1"/>
    <col min="15879" max="15879" width="16.73046875" customWidth="1"/>
    <col min="15881" max="15881" width="11.265625" customWidth="1"/>
    <col min="15882" max="15882" width="10.3984375" customWidth="1"/>
    <col min="16130" max="16130" width="23" customWidth="1"/>
    <col min="16131" max="16131" width="22.86328125" customWidth="1"/>
    <col min="16132" max="16132" width="5.46484375" customWidth="1"/>
    <col min="16133" max="16133" width="30.73046875" customWidth="1"/>
    <col min="16134" max="16134" width="56.3984375" customWidth="1"/>
    <col min="16135" max="16135" width="16.73046875" customWidth="1"/>
    <col min="16137" max="16137" width="11.265625" customWidth="1"/>
    <col min="16138" max="16138" width="10.3984375" customWidth="1"/>
  </cols>
  <sheetData>
    <row r="7" spans="1:10" ht="14.65" thickBot="1" x14ac:dyDescent="0.5"/>
    <row r="8" spans="1:10" ht="21.95" customHeight="1" thickBot="1" x14ac:dyDescent="0.5">
      <c r="A8" s="78" t="s">
        <v>192</v>
      </c>
      <c r="B8" s="78"/>
      <c r="C8" s="78"/>
      <c r="D8" s="78"/>
      <c r="E8" s="78"/>
      <c r="F8" s="78"/>
      <c r="G8" s="78"/>
      <c r="H8" s="78"/>
      <c r="I8" s="78"/>
      <c r="J8" s="78"/>
    </row>
    <row r="12" spans="1:10" ht="17.100000000000001" customHeight="1" x14ac:dyDescent="0.45">
      <c r="B12" s="60" t="s">
        <v>193</v>
      </c>
      <c r="C12" t="s">
        <v>194</v>
      </c>
    </row>
    <row r="13" spans="1:10" ht="17.100000000000001" customHeight="1" x14ac:dyDescent="0.45">
      <c r="B13" s="60" t="s">
        <v>195</v>
      </c>
      <c r="C13" t="s">
        <v>196</v>
      </c>
    </row>
    <row r="14" spans="1:10" ht="17.100000000000001" customHeight="1" x14ac:dyDescent="0.45">
      <c r="B14" s="60" t="s">
        <v>197</v>
      </c>
      <c r="C14" t="s">
        <v>198</v>
      </c>
    </row>
    <row r="15" spans="1:10" ht="17.100000000000001" customHeight="1" x14ac:dyDescent="0.45">
      <c r="B15" s="60" t="s">
        <v>199</v>
      </c>
      <c r="C15" t="s">
        <v>178</v>
      </c>
    </row>
    <row r="16" spans="1:10" ht="17.100000000000001" customHeight="1" x14ac:dyDescent="0.45">
      <c r="B16" s="60" t="s">
        <v>200</v>
      </c>
      <c r="C16" t="s">
        <v>201</v>
      </c>
    </row>
    <row r="17" spans="2:11" ht="17.100000000000001" customHeight="1" x14ac:dyDescent="0.45">
      <c r="B17" s="60" t="s">
        <v>202</v>
      </c>
      <c r="C17" t="s">
        <v>203</v>
      </c>
    </row>
    <row r="18" spans="2:11" ht="17.100000000000001" customHeight="1" x14ac:dyDescent="0.45">
      <c r="B18" s="60" t="s">
        <v>204</v>
      </c>
      <c r="C18" t="s">
        <v>205</v>
      </c>
    </row>
    <row r="19" spans="2:11" ht="17.100000000000001" customHeight="1" x14ac:dyDescent="0.45">
      <c r="B19" s="60" t="s">
        <v>206</v>
      </c>
      <c r="C19" t="s">
        <v>207</v>
      </c>
    </row>
    <row r="21" spans="2:11" ht="14.65" thickBot="1" x14ac:dyDescent="0.5"/>
    <row r="22" spans="2:11" ht="30" customHeight="1" thickBot="1" x14ac:dyDescent="0.5">
      <c r="B22" s="61" t="s">
        <v>208</v>
      </c>
      <c r="C22" s="61" t="s">
        <v>209</v>
      </c>
      <c r="D22" s="61" t="s">
        <v>210</v>
      </c>
      <c r="E22" s="61" t="s">
        <v>211</v>
      </c>
      <c r="F22" s="61" t="s">
        <v>212</v>
      </c>
      <c r="G22" s="61" t="s">
        <v>213</v>
      </c>
      <c r="H22" s="61" t="s">
        <v>214</v>
      </c>
      <c r="I22" s="61" t="s">
        <v>215</v>
      </c>
      <c r="J22" s="61" t="s">
        <v>216</v>
      </c>
      <c r="K22" s="61" t="s">
        <v>217</v>
      </c>
    </row>
    <row r="23" spans="2:11" x14ac:dyDescent="0.45">
      <c r="B23" t="s">
        <v>218</v>
      </c>
      <c r="C23" t="s">
        <v>219</v>
      </c>
      <c r="D23" t="s">
        <v>220</v>
      </c>
      <c r="E23" s="62" t="s">
        <v>221</v>
      </c>
      <c r="F23" s="62" t="s">
        <v>222</v>
      </c>
      <c r="G23" t="s">
        <v>214</v>
      </c>
      <c r="H23" s="63">
        <v>1</v>
      </c>
      <c r="I23" s="63">
        <v>0</v>
      </c>
      <c r="J23" s="63">
        <v>1</v>
      </c>
      <c r="K23" t="s">
        <v>223</v>
      </c>
    </row>
    <row r="24" spans="2:11" x14ac:dyDescent="0.45">
      <c r="B24" t="s">
        <v>36</v>
      </c>
      <c r="C24" t="s">
        <v>224</v>
      </c>
      <c r="D24" t="s">
        <v>225</v>
      </c>
      <c r="E24" s="62" t="s">
        <v>226</v>
      </c>
      <c r="F24" s="62" t="s">
        <v>227</v>
      </c>
      <c r="G24" t="s">
        <v>214</v>
      </c>
      <c r="H24" s="63">
        <v>546000</v>
      </c>
      <c r="I24" s="63">
        <v>0</v>
      </c>
      <c r="J24" s="63">
        <v>546001</v>
      </c>
      <c r="K24" t="s">
        <v>228</v>
      </c>
    </row>
    <row r="25" spans="2:11" x14ac:dyDescent="0.45">
      <c r="B25" t="s">
        <v>36</v>
      </c>
      <c r="C25" t="s">
        <v>224</v>
      </c>
      <c r="D25" t="s">
        <v>229</v>
      </c>
      <c r="E25" s="62" t="s">
        <v>221</v>
      </c>
      <c r="F25" s="62" t="s">
        <v>230</v>
      </c>
      <c r="G25" t="s">
        <v>214</v>
      </c>
      <c r="H25" s="63">
        <v>248500</v>
      </c>
      <c r="I25" s="63">
        <v>0</v>
      </c>
      <c r="J25" s="63">
        <v>794501</v>
      </c>
      <c r="K25" t="s">
        <v>223</v>
      </c>
    </row>
    <row r="26" spans="2:11" x14ac:dyDescent="0.45">
      <c r="B26" t="s">
        <v>37</v>
      </c>
      <c r="C26" t="s">
        <v>231</v>
      </c>
      <c r="D26" t="s">
        <v>232</v>
      </c>
      <c r="E26" s="62" t="s">
        <v>226</v>
      </c>
      <c r="F26" s="62" t="s">
        <v>233</v>
      </c>
      <c r="G26" t="s">
        <v>214</v>
      </c>
      <c r="H26" s="63">
        <v>280000</v>
      </c>
      <c r="I26" s="63">
        <v>0</v>
      </c>
      <c r="J26" s="63">
        <v>1074501</v>
      </c>
      <c r="K26" t="s">
        <v>228</v>
      </c>
    </row>
    <row r="27" spans="2:11" x14ac:dyDescent="0.45">
      <c r="B27" t="s">
        <v>37</v>
      </c>
      <c r="C27" t="s">
        <v>231</v>
      </c>
      <c r="D27" t="s">
        <v>234</v>
      </c>
      <c r="E27" s="62" t="s">
        <v>221</v>
      </c>
      <c r="F27" s="62" t="s">
        <v>235</v>
      </c>
      <c r="G27" t="s">
        <v>214</v>
      </c>
      <c r="H27" s="63">
        <v>245700</v>
      </c>
      <c r="I27" s="63">
        <v>0</v>
      </c>
      <c r="J27" s="63">
        <v>1320201</v>
      </c>
      <c r="K27" t="s">
        <v>223</v>
      </c>
    </row>
    <row r="28" spans="2:11" x14ac:dyDescent="0.45">
      <c r="B28" t="s">
        <v>38</v>
      </c>
      <c r="C28" t="s">
        <v>236</v>
      </c>
      <c r="D28" t="s">
        <v>237</v>
      </c>
      <c r="E28" s="62" t="s">
        <v>221</v>
      </c>
      <c r="F28" s="62" t="s">
        <v>238</v>
      </c>
      <c r="G28" t="s">
        <v>214</v>
      </c>
      <c r="H28" s="63">
        <v>294850</v>
      </c>
      <c r="I28" s="63">
        <v>0</v>
      </c>
      <c r="J28" s="63">
        <v>1615051</v>
      </c>
      <c r="K28" t="s">
        <v>223</v>
      </c>
    </row>
    <row r="29" spans="2:11" x14ac:dyDescent="0.45">
      <c r="B29" t="s">
        <v>39</v>
      </c>
      <c r="C29" t="s">
        <v>239</v>
      </c>
      <c r="D29" t="s">
        <v>240</v>
      </c>
      <c r="E29" s="62" t="s">
        <v>221</v>
      </c>
      <c r="F29" s="62" t="s">
        <v>238</v>
      </c>
      <c r="G29" t="s">
        <v>214</v>
      </c>
      <c r="H29" s="63">
        <v>294850</v>
      </c>
      <c r="I29" s="63">
        <v>0</v>
      </c>
      <c r="J29" s="63">
        <v>1909901</v>
      </c>
      <c r="K29" t="s">
        <v>223</v>
      </c>
    </row>
    <row r="30" spans="2:11" x14ac:dyDescent="0.45">
      <c r="B30" t="s">
        <v>40</v>
      </c>
      <c r="C30" t="s">
        <v>241</v>
      </c>
      <c r="D30" t="s">
        <v>242</v>
      </c>
      <c r="E30" s="62" t="s">
        <v>226</v>
      </c>
      <c r="F30" s="62" t="s">
        <v>243</v>
      </c>
      <c r="G30" t="s">
        <v>214</v>
      </c>
      <c r="H30" s="63">
        <v>471400</v>
      </c>
      <c r="I30" s="63">
        <v>0</v>
      </c>
      <c r="J30" s="63">
        <v>2381301</v>
      </c>
      <c r="K30" t="s">
        <v>228</v>
      </c>
    </row>
    <row r="31" spans="2:11" x14ac:dyDescent="0.45">
      <c r="B31" t="s">
        <v>41</v>
      </c>
      <c r="C31" t="s">
        <v>244</v>
      </c>
      <c r="D31" t="s">
        <v>245</v>
      </c>
      <c r="E31" s="62" t="s">
        <v>226</v>
      </c>
      <c r="F31" s="62" t="s">
        <v>246</v>
      </c>
      <c r="G31" t="s">
        <v>214</v>
      </c>
      <c r="H31" s="63">
        <v>287325</v>
      </c>
      <c r="I31" s="63">
        <v>0</v>
      </c>
      <c r="J31" s="63">
        <v>2668626</v>
      </c>
      <c r="K31" t="s">
        <v>228</v>
      </c>
    </row>
    <row r="32" spans="2:11" x14ac:dyDescent="0.45">
      <c r="B32" t="s">
        <v>41</v>
      </c>
      <c r="C32" t="s">
        <v>244</v>
      </c>
      <c r="D32" t="s">
        <v>247</v>
      </c>
      <c r="E32" s="62" t="s">
        <v>248</v>
      </c>
      <c r="F32" s="62" t="s">
        <v>249</v>
      </c>
      <c r="G32" t="s">
        <v>214</v>
      </c>
      <c r="H32" s="63">
        <v>281843</v>
      </c>
      <c r="I32" s="63">
        <v>0</v>
      </c>
      <c r="J32" s="63">
        <v>2950469</v>
      </c>
    </row>
    <row r="33" spans="2:11" x14ac:dyDescent="0.45">
      <c r="B33" t="s">
        <v>41</v>
      </c>
      <c r="C33" t="s">
        <v>244</v>
      </c>
      <c r="D33" t="s">
        <v>250</v>
      </c>
      <c r="E33" s="62" t="s">
        <v>221</v>
      </c>
      <c r="F33" s="62" t="s">
        <v>251</v>
      </c>
      <c r="G33" t="s">
        <v>214</v>
      </c>
      <c r="H33" s="63">
        <v>104200</v>
      </c>
      <c r="I33" s="63">
        <v>0</v>
      </c>
      <c r="J33" s="63">
        <v>3054669</v>
      </c>
      <c r="K33" t="s">
        <v>223</v>
      </c>
    </row>
    <row r="34" spans="2:11" x14ac:dyDescent="0.45">
      <c r="B34" t="s">
        <v>42</v>
      </c>
      <c r="C34" t="s">
        <v>252</v>
      </c>
      <c r="D34" t="s">
        <v>253</v>
      </c>
      <c r="E34" s="62" t="s">
        <v>221</v>
      </c>
      <c r="F34" s="62" t="s">
        <v>251</v>
      </c>
      <c r="G34" t="s">
        <v>214</v>
      </c>
      <c r="H34" s="63">
        <v>101470</v>
      </c>
      <c r="I34" s="63">
        <v>0</v>
      </c>
      <c r="J34" s="63">
        <v>3156139</v>
      </c>
      <c r="K34" t="s">
        <v>223</v>
      </c>
    </row>
    <row r="35" spans="2:11" x14ac:dyDescent="0.45">
      <c r="B35" t="s">
        <v>66</v>
      </c>
      <c r="C35" t="s">
        <v>254</v>
      </c>
      <c r="D35" t="s">
        <v>255</v>
      </c>
      <c r="E35" s="62" t="s">
        <v>226</v>
      </c>
      <c r="F35" s="62" t="s">
        <v>256</v>
      </c>
      <c r="G35" t="s">
        <v>214</v>
      </c>
      <c r="H35" s="63">
        <v>250000</v>
      </c>
      <c r="I35" s="63">
        <v>0</v>
      </c>
      <c r="J35" s="63">
        <v>3406139</v>
      </c>
      <c r="K35" t="s">
        <v>228</v>
      </c>
    </row>
    <row r="36" spans="2:11" x14ac:dyDescent="0.45">
      <c r="B36" t="s">
        <v>66</v>
      </c>
      <c r="C36" t="s">
        <v>254</v>
      </c>
      <c r="D36" t="s">
        <v>257</v>
      </c>
      <c r="E36" s="62" t="s">
        <v>221</v>
      </c>
      <c r="F36" s="62" t="s">
        <v>258</v>
      </c>
      <c r="G36" t="s">
        <v>214</v>
      </c>
      <c r="H36" s="63">
        <v>248875</v>
      </c>
      <c r="I36" s="63">
        <v>0</v>
      </c>
      <c r="J36" s="63">
        <v>3655014</v>
      </c>
      <c r="K36" t="s">
        <v>223</v>
      </c>
    </row>
    <row r="37" spans="2:11" x14ac:dyDescent="0.45">
      <c r="B37" t="s">
        <v>67</v>
      </c>
      <c r="C37" t="s">
        <v>259</v>
      </c>
      <c r="D37" t="s">
        <v>260</v>
      </c>
      <c r="E37" s="62" t="s">
        <v>248</v>
      </c>
      <c r="F37" s="62" t="s">
        <v>261</v>
      </c>
      <c r="G37" t="s">
        <v>214</v>
      </c>
      <c r="H37" s="63">
        <v>300000</v>
      </c>
      <c r="I37" s="63">
        <v>0</v>
      </c>
      <c r="J37" s="63">
        <v>3955014</v>
      </c>
    </row>
    <row r="38" spans="2:11" x14ac:dyDescent="0.45">
      <c r="B38" t="s">
        <v>67</v>
      </c>
      <c r="C38" t="s">
        <v>259</v>
      </c>
      <c r="D38" t="s">
        <v>262</v>
      </c>
      <c r="E38" s="62" t="s">
        <v>221</v>
      </c>
      <c r="F38" s="62" t="s">
        <v>263</v>
      </c>
      <c r="G38" t="s">
        <v>214</v>
      </c>
      <c r="H38" s="63">
        <v>300000</v>
      </c>
      <c r="I38" s="63">
        <v>0</v>
      </c>
      <c r="J38" s="63">
        <v>4255014</v>
      </c>
      <c r="K38" t="s">
        <v>223</v>
      </c>
    </row>
    <row r="39" spans="2:11" x14ac:dyDescent="0.45">
      <c r="B39" t="s">
        <v>85</v>
      </c>
      <c r="C39" t="s">
        <v>264</v>
      </c>
      <c r="D39" t="s">
        <v>265</v>
      </c>
      <c r="E39" s="62" t="s">
        <v>221</v>
      </c>
      <c r="F39" s="62" t="s">
        <v>263</v>
      </c>
      <c r="G39" t="s">
        <v>214</v>
      </c>
      <c r="H39" s="63">
        <v>19400</v>
      </c>
      <c r="I39" s="63">
        <v>0</v>
      </c>
      <c r="J39" s="63">
        <v>4274414</v>
      </c>
      <c r="K39" t="s">
        <v>223</v>
      </c>
    </row>
    <row r="40" spans="2:11" x14ac:dyDescent="0.45">
      <c r="B40" t="s">
        <v>85</v>
      </c>
      <c r="C40" t="s">
        <v>264</v>
      </c>
      <c r="D40" t="s">
        <v>266</v>
      </c>
      <c r="E40" s="62" t="s">
        <v>226</v>
      </c>
      <c r="F40" s="62" t="s">
        <v>267</v>
      </c>
      <c r="G40" t="s">
        <v>214</v>
      </c>
      <c r="H40" s="63">
        <v>140600</v>
      </c>
      <c r="I40" s="63">
        <v>0</v>
      </c>
      <c r="J40" s="63">
        <v>4415014</v>
      </c>
      <c r="K40" t="s">
        <v>228</v>
      </c>
    </row>
    <row r="41" spans="2:11" x14ac:dyDescent="0.45">
      <c r="B41" t="s">
        <v>88</v>
      </c>
      <c r="C41" t="s">
        <v>268</v>
      </c>
      <c r="D41" t="s">
        <v>269</v>
      </c>
      <c r="E41" s="62" t="s">
        <v>226</v>
      </c>
      <c r="F41" s="62" t="s">
        <v>270</v>
      </c>
      <c r="G41" t="s">
        <v>214</v>
      </c>
      <c r="H41" s="63">
        <v>309935</v>
      </c>
      <c r="I41" s="63">
        <v>0</v>
      </c>
      <c r="J41" s="63">
        <v>4724949</v>
      </c>
      <c r="K41" t="s">
        <v>228</v>
      </c>
    </row>
    <row r="42" spans="2:11" x14ac:dyDescent="0.45">
      <c r="B42" t="s">
        <v>88</v>
      </c>
      <c r="C42" t="s">
        <v>268</v>
      </c>
      <c r="D42" t="s">
        <v>271</v>
      </c>
      <c r="E42" s="62" t="s">
        <v>248</v>
      </c>
      <c r="F42" s="62" t="s">
        <v>272</v>
      </c>
      <c r="G42" t="s">
        <v>214</v>
      </c>
      <c r="H42" s="63">
        <v>328500</v>
      </c>
      <c r="I42" s="63">
        <v>0</v>
      </c>
      <c r="J42" s="63">
        <v>5053449</v>
      </c>
    </row>
    <row r="43" spans="2:11" x14ac:dyDescent="0.45">
      <c r="B43" t="s">
        <v>88</v>
      </c>
      <c r="C43" t="s">
        <v>268</v>
      </c>
      <c r="D43" t="s">
        <v>273</v>
      </c>
      <c r="E43" s="62" t="s">
        <v>226</v>
      </c>
      <c r="F43" s="62" t="s">
        <v>274</v>
      </c>
      <c r="G43" t="s">
        <v>214</v>
      </c>
      <c r="H43" s="63">
        <v>273000</v>
      </c>
      <c r="I43" s="63">
        <v>0</v>
      </c>
      <c r="J43" s="63">
        <v>5326449</v>
      </c>
      <c r="K43" t="s">
        <v>228</v>
      </c>
    </row>
    <row r="44" spans="2:11" x14ac:dyDescent="0.45">
      <c r="B44" t="s">
        <v>144</v>
      </c>
      <c r="C44" t="s">
        <v>275</v>
      </c>
      <c r="D44" t="s">
        <v>276</v>
      </c>
      <c r="E44" s="62" t="s">
        <v>226</v>
      </c>
      <c r="F44" s="62" t="s">
        <v>277</v>
      </c>
      <c r="G44" t="s">
        <v>214</v>
      </c>
      <c r="H44" s="63">
        <v>150000</v>
      </c>
      <c r="I44" s="63">
        <v>0</v>
      </c>
      <c r="J44" s="63">
        <v>5476449</v>
      </c>
      <c r="K44" t="s">
        <v>228</v>
      </c>
    </row>
    <row r="45" spans="2:11" x14ac:dyDescent="0.45">
      <c r="B45" t="s">
        <v>144</v>
      </c>
      <c r="C45" t="s">
        <v>275</v>
      </c>
      <c r="D45" t="s">
        <v>278</v>
      </c>
      <c r="E45" s="62" t="s">
        <v>226</v>
      </c>
      <c r="F45" s="62" t="s">
        <v>279</v>
      </c>
      <c r="G45" t="s">
        <v>214</v>
      </c>
      <c r="H45" s="63">
        <v>100000</v>
      </c>
      <c r="I45" s="63">
        <v>0</v>
      </c>
      <c r="J45" s="63">
        <v>5576449</v>
      </c>
      <c r="K45" t="s">
        <v>228</v>
      </c>
    </row>
    <row r="46" spans="2:11" x14ac:dyDescent="0.45">
      <c r="B46" t="s">
        <v>145</v>
      </c>
      <c r="C46" t="s">
        <v>280</v>
      </c>
      <c r="D46" t="s">
        <v>281</v>
      </c>
      <c r="E46" s="62" t="s">
        <v>248</v>
      </c>
      <c r="F46" s="62" t="s">
        <v>282</v>
      </c>
      <c r="G46" t="s">
        <v>214</v>
      </c>
      <c r="H46" s="63">
        <v>335370</v>
      </c>
      <c r="I46" s="63">
        <v>0</v>
      </c>
      <c r="J46" s="63">
        <v>5911819</v>
      </c>
    </row>
    <row r="47" spans="2:11" x14ac:dyDescent="0.45">
      <c r="B47" t="s">
        <v>146</v>
      </c>
      <c r="C47" t="s">
        <v>283</v>
      </c>
      <c r="D47" t="s">
        <v>284</v>
      </c>
      <c r="E47" s="62" t="s">
        <v>226</v>
      </c>
      <c r="F47" s="62" t="s">
        <v>285</v>
      </c>
      <c r="G47" t="s">
        <v>214</v>
      </c>
      <c r="H47" s="63">
        <v>279825</v>
      </c>
      <c r="I47" s="63">
        <v>0</v>
      </c>
      <c r="J47" s="63">
        <v>6191644</v>
      </c>
      <c r="K47" t="s">
        <v>228</v>
      </c>
    </row>
    <row r="48" spans="2:11" x14ac:dyDescent="0.45">
      <c r="B48" t="s">
        <v>147</v>
      </c>
      <c r="C48" t="s">
        <v>286</v>
      </c>
      <c r="D48" t="s">
        <v>287</v>
      </c>
      <c r="E48" s="62" t="s">
        <v>221</v>
      </c>
      <c r="F48" s="62" t="s">
        <v>251</v>
      </c>
      <c r="G48" t="s">
        <v>214</v>
      </c>
      <c r="H48" s="63">
        <v>156300</v>
      </c>
      <c r="I48" s="63">
        <v>0</v>
      </c>
      <c r="J48" s="63">
        <v>6347944</v>
      </c>
      <c r="K48" t="s">
        <v>223</v>
      </c>
    </row>
    <row r="49" spans="2:11" x14ac:dyDescent="0.45">
      <c r="B49" t="s">
        <v>148</v>
      </c>
      <c r="C49" t="s">
        <v>288</v>
      </c>
      <c r="D49" t="s">
        <v>289</v>
      </c>
      <c r="E49" s="62" t="s">
        <v>221</v>
      </c>
      <c r="F49" s="62" t="s">
        <v>251</v>
      </c>
      <c r="G49" t="s">
        <v>214</v>
      </c>
      <c r="H49" s="63">
        <v>152205</v>
      </c>
      <c r="I49" s="63">
        <v>0</v>
      </c>
      <c r="J49" s="63">
        <v>6500149</v>
      </c>
      <c r="K49" t="s">
        <v>223</v>
      </c>
    </row>
    <row r="50" spans="2:11" x14ac:dyDescent="0.45">
      <c r="B50" t="s">
        <v>149</v>
      </c>
      <c r="C50" t="s">
        <v>290</v>
      </c>
      <c r="D50" t="s">
        <v>291</v>
      </c>
      <c r="E50" s="62" t="s">
        <v>226</v>
      </c>
      <c r="F50" s="62" t="s">
        <v>292</v>
      </c>
      <c r="G50" t="s">
        <v>214</v>
      </c>
      <c r="H50" s="63">
        <v>61260</v>
      </c>
      <c r="I50" s="63">
        <v>0</v>
      </c>
      <c r="J50" s="63">
        <v>6561409</v>
      </c>
      <c r="K50" t="s">
        <v>228</v>
      </c>
    </row>
    <row r="51" spans="2:11" x14ac:dyDescent="0.45">
      <c r="B51" t="s">
        <v>293</v>
      </c>
      <c r="C51" t="s">
        <v>294</v>
      </c>
      <c r="D51" t="s">
        <v>295</v>
      </c>
      <c r="E51" s="62" t="s">
        <v>296</v>
      </c>
      <c r="F51" s="62" t="s">
        <v>297</v>
      </c>
      <c r="G51" t="s">
        <v>298</v>
      </c>
      <c r="H51" s="63">
        <v>0</v>
      </c>
      <c r="I51" s="64">
        <v>-4048000</v>
      </c>
      <c r="J51" s="63">
        <v>2513409</v>
      </c>
      <c r="K51" t="s">
        <v>228</v>
      </c>
    </row>
    <row r="52" spans="2:11" x14ac:dyDescent="0.45">
      <c r="B52" t="s">
        <v>293</v>
      </c>
      <c r="C52" t="s">
        <v>294</v>
      </c>
      <c r="D52" t="s">
        <v>299</v>
      </c>
      <c r="E52" s="62" t="s">
        <v>296</v>
      </c>
      <c r="F52" s="62" t="s">
        <v>300</v>
      </c>
      <c r="G52" t="s">
        <v>298</v>
      </c>
      <c r="H52" s="63">
        <v>0</v>
      </c>
      <c r="I52" s="64">
        <v>-1000000</v>
      </c>
      <c r="J52" s="63">
        <v>1513409</v>
      </c>
      <c r="K52" t="s">
        <v>228</v>
      </c>
    </row>
    <row r="53" spans="2:11" x14ac:dyDescent="0.45">
      <c r="B53" t="s">
        <v>175</v>
      </c>
      <c r="C53" t="s">
        <v>301</v>
      </c>
      <c r="D53" t="s">
        <v>302</v>
      </c>
      <c r="E53" s="62" t="s">
        <v>221</v>
      </c>
      <c r="F53" s="62" t="s">
        <v>303</v>
      </c>
      <c r="G53" t="s">
        <v>214</v>
      </c>
      <c r="H53" s="63">
        <v>115543.1</v>
      </c>
      <c r="I53" s="63">
        <v>0</v>
      </c>
      <c r="J53" s="63">
        <v>1628952.1</v>
      </c>
      <c r="K53" t="s">
        <v>223</v>
      </c>
    </row>
    <row r="54" spans="2:11" x14ac:dyDescent="0.45">
      <c r="B54" t="s">
        <v>176</v>
      </c>
      <c r="C54" t="s">
        <v>304</v>
      </c>
      <c r="D54" t="s">
        <v>305</v>
      </c>
      <c r="E54" s="62" t="s">
        <v>226</v>
      </c>
      <c r="F54" s="62" t="s">
        <v>306</v>
      </c>
      <c r="G54" t="s">
        <v>214</v>
      </c>
      <c r="H54" s="63">
        <v>114930</v>
      </c>
      <c r="I54" s="63">
        <v>0</v>
      </c>
      <c r="J54" s="63">
        <v>1743882.1</v>
      </c>
      <c r="K54" t="s">
        <v>228</v>
      </c>
    </row>
    <row r="55" spans="2:11" x14ac:dyDescent="0.45">
      <c r="B55" t="s">
        <v>176</v>
      </c>
      <c r="C55" t="s">
        <v>304</v>
      </c>
      <c r="D55" t="s">
        <v>307</v>
      </c>
      <c r="E55" s="62" t="s">
        <v>221</v>
      </c>
      <c r="F55" s="62" t="s">
        <v>308</v>
      </c>
      <c r="G55" t="s">
        <v>214</v>
      </c>
      <c r="H55" s="63">
        <v>131400</v>
      </c>
      <c r="I55" s="63">
        <v>0</v>
      </c>
      <c r="J55" s="63">
        <v>1875282.1</v>
      </c>
      <c r="K55" t="s">
        <v>223</v>
      </c>
    </row>
    <row r="56" spans="2:11" x14ac:dyDescent="0.45">
      <c r="B56" t="s">
        <v>177</v>
      </c>
      <c r="C56" t="s">
        <v>309</v>
      </c>
      <c r="D56" t="s">
        <v>310</v>
      </c>
      <c r="E56" s="62" t="s">
        <v>221</v>
      </c>
      <c r="F56" s="62" t="s">
        <v>238</v>
      </c>
      <c r="G56" t="s">
        <v>214</v>
      </c>
      <c r="H56" s="63">
        <v>117940</v>
      </c>
      <c r="I56" s="63">
        <v>0</v>
      </c>
      <c r="J56" s="63">
        <v>1993222.1</v>
      </c>
      <c r="K56" t="s">
        <v>223</v>
      </c>
    </row>
    <row r="57" spans="2:11" x14ac:dyDescent="0.45">
      <c r="B57" t="s">
        <v>177</v>
      </c>
      <c r="C57" t="s">
        <v>309</v>
      </c>
      <c r="D57" t="s">
        <v>311</v>
      </c>
      <c r="E57" s="62" t="s">
        <v>221</v>
      </c>
      <c r="F57" s="62" t="s">
        <v>238</v>
      </c>
      <c r="G57" t="s">
        <v>214</v>
      </c>
      <c r="H57" s="63">
        <v>117940</v>
      </c>
      <c r="I57" s="63">
        <v>0</v>
      </c>
      <c r="J57" s="63">
        <v>2111162.1</v>
      </c>
      <c r="K57" t="s">
        <v>223</v>
      </c>
    </row>
    <row r="58" spans="2:11" x14ac:dyDescent="0.45">
      <c r="B58" t="s">
        <v>178</v>
      </c>
      <c r="C58" t="s">
        <v>312</v>
      </c>
      <c r="D58" t="s">
        <v>313</v>
      </c>
      <c r="E58" s="62" t="s">
        <v>221</v>
      </c>
      <c r="F58" s="62" t="s">
        <v>230</v>
      </c>
      <c r="G58" t="s">
        <v>214</v>
      </c>
      <c r="H58" s="63">
        <v>99400</v>
      </c>
      <c r="I58" s="63">
        <v>0</v>
      </c>
      <c r="J58" s="63">
        <v>2210562.1</v>
      </c>
      <c r="K58" t="s">
        <v>223</v>
      </c>
    </row>
    <row r="59" spans="2:11" x14ac:dyDescent="0.45">
      <c r="B59" t="s">
        <v>326</v>
      </c>
      <c r="C59" t="s">
        <v>327</v>
      </c>
      <c r="D59" t="s">
        <v>328</v>
      </c>
      <c r="E59" s="62" t="s">
        <v>226</v>
      </c>
      <c r="F59" s="62" t="s">
        <v>329</v>
      </c>
      <c r="G59" t="s">
        <v>214</v>
      </c>
      <c r="H59" s="63">
        <v>111755</v>
      </c>
      <c r="I59" s="63">
        <v>0</v>
      </c>
      <c r="J59" s="63">
        <v>2322317.1</v>
      </c>
      <c r="K59" t="s">
        <v>228</v>
      </c>
    </row>
    <row r="60" spans="2:11" x14ac:dyDescent="0.45">
      <c r="B60" t="s">
        <v>330</v>
      </c>
      <c r="C60" t="s">
        <v>331</v>
      </c>
      <c r="D60" t="s">
        <v>332</v>
      </c>
      <c r="E60" s="62" t="s">
        <v>248</v>
      </c>
      <c r="F60" s="62" t="s">
        <v>333</v>
      </c>
      <c r="G60" t="s">
        <v>214</v>
      </c>
      <c r="H60" s="63">
        <v>134148</v>
      </c>
      <c r="I60" s="63">
        <v>0</v>
      </c>
      <c r="J60" s="63">
        <v>2456465.1</v>
      </c>
    </row>
    <row r="61" spans="2:11" x14ac:dyDescent="0.45">
      <c r="B61" t="s">
        <v>334</v>
      </c>
      <c r="C61" t="s">
        <v>335</v>
      </c>
      <c r="D61" t="s">
        <v>336</v>
      </c>
      <c r="E61" s="62" t="s">
        <v>248</v>
      </c>
      <c r="F61" s="62" t="s">
        <v>337</v>
      </c>
      <c r="G61" t="s">
        <v>214</v>
      </c>
      <c r="H61" s="63">
        <v>296400</v>
      </c>
      <c r="I61" s="63">
        <v>0</v>
      </c>
      <c r="J61" s="63">
        <v>2752865.1</v>
      </c>
    </row>
    <row r="62" spans="2:11" x14ac:dyDescent="0.45">
      <c r="B62" t="s">
        <v>338</v>
      </c>
      <c r="C62" t="s">
        <v>339</v>
      </c>
      <c r="D62" t="s">
        <v>340</v>
      </c>
      <c r="E62" s="62" t="s">
        <v>221</v>
      </c>
      <c r="F62" s="62" t="s">
        <v>263</v>
      </c>
      <c r="G62" t="s">
        <v>214</v>
      </c>
      <c r="H62" s="63">
        <v>127760</v>
      </c>
      <c r="I62" s="63">
        <v>0</v>
      </c>
      <c r="J62" s="63">
        <v>2880625.1</v>
      </c>
      <c r="K62" t="s">
        <v>223</v>
      </c>
    </row>
    <row r="64" spans="2:11" ht="15.4" x14ac:dyDescent="0.45">
      <c r="B64" s="60" t="s">
        <v>314</v>
      </c>
      <c r="C64" s="55">
        <v>11</v>
      </c>
    </row>
    <row r="65" spans="2:3" ht="15.4" x14ac:dyDescent="0.45">
      <c r="B65" s="60" t="s">
        <v>315</v>
      </c>
      <c r="C65" s="55">
        <v>2</v>
      </c>
    </row>
    <row r="66" spans="2:3" ht="15.4" x14ac:dyDescent="0.45">
      <c r="B66" s="60" t="s">
        <v>204</v>
      </c>
      <c r="C66" s="65">
        <v>0</v>
      </c>
    </row>
    <row r="67" spans="2:3" ht="15.4" x14ac:dyDescent="0.45">
      <c r="B67" s="60" t="s">
        <v>316</v>
      </c>
      <c r="C67" s="65">
        <f>SUM(H23:H62)</f>
        <v>7928625.0999999996</v>
      </c>
    </row>
    <row r="68" spans="2:3" ht="15.4" x14ac:dyDescent="0.45">
      <c r="B68" s="60" t="s">
        <v>317</v>
      </c>
      <c r="C68" s="65">
        <f>SUM(I23:I62)</f>
        <v>-5048000</v>
      </c>
    </row>
    <row r="69" spans="2:3" ht="15.4" x14ac:dyDescent="0.45">
      <c r="B69" s="60" t="s">
        <v>206</v>
      </c>
      <c r="C69" s="65">
        <f>C67+C68</f>
        <v>2880625.0999999996</v>
      </c>
    </row>
  </sheetData>
  <mergeCells count="1">
    <mergeCell ref="A8:J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/>
  <dimension ref="A1:AA51"/>
  <sheetViews>
    <sheetView showGridLines="0" rightToLeft="1" tabSelected="1" topLeftCell="A27" zoomScale="144" zoomScaleNormal="85" workbookViewId="0">
      <selection activeCell="F48" sqref="F48"/>
    </sheetView>
  </sheetViews>
  <sheetFormatPr defaultRowHeight="14.25" x14ac:dyDescent="0.45"/>
  <cols>
    <col min="1" max="1" width="9.46484375" style="11" bestFit="1" customWidth="1"/>
    <col min="2" max="2" width="25.265625" style="10" customWidth="1"/>
    <col min="3" max="3" width="8.1328125" style="10" bestFit="1" customWidth="1"/>
    <col min="4" max="4" width="8.1328125" style="11" customWidth="1"/>
    <col min="5" max="5" width="9.73046875" style="12" customWidth="1"/>
    <col min="6" max="6" width="28.59765625" style="10" customWidth="1"/>
    <col min="7" max="7" width="11.1328125" style="10" bestFit="1" customWidth="1"/>
    <col min="8" max="8" width="9.73046875" style="12" bestFit="1" customWidth="1"/>
    <col min="9" max="9" width="9.73046875" style="12" customWidth="1"/>
    <col min="10" max="10" width="11.59765625" style="11" customWidth="1"/>
    <col min="11" max="12" width="12.59765625" style="12" customWidth="1"/>
    <col min="13" max="13" width="13.46484375" style="12" hidden="1" customWidth="1"/>
    <col min="14" max="14" width="12" style="12" hidden="1" customWidth="1"/>
    <col min="15" max="15" width="9.46484375" style="11" hidden="1" customWidth="1"/>
    <col min="16" max="16" width="13.46484375" style="11" hidden="1" customWidth="1"/>
    <col min="17" max="17" width="13.73046875" style="11" hidden="1" customWidth="1"/>
    <col min="18" max="18" width="11.73046875" style="11" hidden="1" customWidth="1"/>
    <col min="19" max="19" width="12.59765625" style="12" hidden="1" customWidth="1"/>
    <col min="20" max="20" width="10.86328125" style="12" hidden="1" customWidth="1"/>
    <col min="21" max="21" width="11.1328125" style="12" customWidth="1"/>
    <col min="22" max="22" width="14.86328125" bestFit="1" customWidth="1"/>
    <col min="23" max="23" width="14.86328125" style="12" customWidth="1"/>
    <col min="24" max="26" width="15" style="12" customWidth="1"/>
    <col min="27" max="27" width="12.265625" bestFit="1" customWidth="1"/>
    <col min="28" max="28" width="9.1328125" bestFit="1" customWidth="1"/>
  </cols>
  <sheetData>
    <row r="1" spans="1:27" s="14" customFormat="1" ht="36.75" x14ac:dyDescent="0.45">
      <c r="A1" s="33" t="s">
        <v>7</v>
      </c>
      <c r="B1" s="34" t="s">
        <v>6</v>
      </c>
      <c r="C1" s="33" t="s">
        <v>52</v>
      </c>
      <c r="D1" s="35" t="s">
        <v>31</v>
      </c>
      <c r="E1" s="34" t="s">
        <v>53</v>
      </c>
      <c r="F1" s="34" t="s">
        <v>97</v>
      </c>
      <c r="G1" s="35" t="s">
        <v>70</v>
      </c>
      <c r="H1" s="36" t="s">
        <v>80</v>
      </c>
      <c r="I1" s="33" t="s">
        <v>8</v>
      </c>
      <c r="J1" s="35" t="s">
        <v>9</v>
      </c>
      <c r="K1" s="35" t="s">
        <v>115</v>
      </c>
      <c r="L1" s="35" t="s">
        <v>116</v>
      </c>
      <c r="M1" s="35" t="s">
        <v>84</v>
      </c>
      <c r="N1" s="33" t="s">
        <v>55</v>
      </c>
      <c r="O1" s="33" t="s">
        <v>57</v>
      </c>
      <c r="P1" s="33" t="s">
        <v>58</v>
      </c>
      <c r="Q1" s="33" t="s">
        <v>59</v>
      </c>
      <c r="R1" s="35" t="s">
        <v>60</v>
      </c>
      <c r="S1" s="35" t="s">
        <v>56</v>
      </c>
      <c r="T1" s="35" t="s">
        <v>61</v>
      </c>
      <c r="U1" s="33" t="s">
        <v>93</v>
      </c>
      <c r="V1" s="35" t="s">
        <v>111</v>
      </c>
      <c r="W1" s="35" t="s">
        <v>113</v>
      </c>
      <c r="X1" s="35" t="s">
        <v>112</v>
      </c>
      <c r="Y1" s="35" t="s">
        <v>114</v>
      </c>
      <c r="Z1" s="33" t="s">
        <v>129</v>
      </c>
      <c r="AA1" s="33" t="s">
        <v>128</v>
      </c>
    </row>
    <row r="2" spans="1:27" ht="18.399999999999999" x14ac:dyDescent="0.85">
      <c r="A2" s="7">
        <v>1</v>
      </c>
      <c r="B2" s="6" t="s">
        <v>157</v>
      </c>
      <c r="C2" s="7" t="s">
        <v>27</v>
      </c>
      <c r="D2" s="8">
        <v>149.11000000000001</v>
      </c>
      <c r="E2" s="6" t="s">
        <v>32</v>
      </c>
      <c r="F2" s="6" t="s">
        <v>98</v>
      </c>
      <c r="G2" s="8">
        <v>622520</v>
      </c>
      <c r="H2" s="30">
        <v>46064</v>
      </c>
      <c r="I2" s="7"/>
      <c r="J2" s="8">
        <f>SUMIF('الدفعات والتحصيل'!B:B,الجدول2[[#This Row],[رقم الوحدة]],'الدفعات والتحصيل'!D:D)</f>
        <v>311260</v>
      </c>
      <c r="K2" s="16">
        <f>IFERROR(الجدول2[[#This Row],[إجمالي الدفعات المحصلة]]/الجدول2[[#This Row],[قيمة الوحدة ]],0)</f>
        <v>0.5</v>
      </c>
      <c r="L2" s="8">
        <f>'العملاء والوحدات'!$G2-'العملاء والوحدات'!$J2</f>
        <v>311260</v>
      </c>
      <c r="M2" s="8">
        <f>الجدول2[[#This Row],[قيمة الوحدة ]]/1.035</f>
        <v>601468.59903381648</v>
      </c>
      <c r="N2" s="8">
        <f>الجدول2[[#This Row],[قيمة الوحدة بدون السعي ]]*0.035</f>
        <v>21051.400966183581</v>
      </c>
      <c r="O2" s="8">
        <f>الجدول2[[#This Row],[العمولة ]]*0.15</f>
        <v>3157.7101449275369</v>
      </c>
      <c r="P2" s="8">
        <f>الجدول2[[#This Row],[ضريبة العمولة ]]+الجدول2[[#This Row],[العمولة ]]</f>
        <v>24209.111111111117</v>
      </c>
      <c r="Q2" s="8">
        <v>5750</v>
      </c>
      <c r="R2" s="8">
        <f>الجدول2[[#This Row],[مكافاة البيع ]]+الجدول2[[#This Row],[العمولة شاملة الضريبة ]]</f>
        <v>29959.111111111117</v>
      </c>
      <c r="S2" s="53">
        <f>الجدول2[[#This Row],[العمولة + مكافاة البيع]]</f>
        <v>29959.111111111117</v>
      </c>
      <c r="T2" s="8">
        <f>الجدول2[[#This Row],[العمولة + مكافاة البيع]]-الجدول2[[#This Row],[المسدد من العمولة ]]</f>
        <v>0</v>
      </c>
      <c r="U2" s="8"/>
      <c r="V2" s="31">
        <f>الجدول2[[#This Row],[قيمة الوحدة ]]*0.7-الجدول2[[#This Row],[إجمالي الدفعات المحصلة]]</f>
        <v>124504</v>
      </c>
      <c r="W2" s="31">
        <f>الجدول2[[#This Row],[قيمة الوحدة ]]*0.15</f>
        <v>93378</v>
      </c>
      <c r="X2" s="31">
        <f>الجدول2[[#This Row],[قيمة الوحدة ]]*0.1</f>
        <v>62252</v>
      </c>
      <c r="Y2" s="31">
        <f>الجدول2[[#This Row],[قيمة الوحدة ]]*0.05</f>
        <v>31126</v>
      </c>
      <c r="Z2" s="8">
        <f>SUM(الجدول2[[#This Row],[تحصيل 4-2026 إيصال الى 70%]:[تحصيل 11-2026 إيصال الى 100%]])+الجدول2[[#This Row],[إجمالي الدفعات المحصلة]]</f>
        <v>622520</v>
      </c>
      <c r="AA2" s="8">
        <f>الجدول2[[#This Row],[اجمالي الوحدة المحصلة]]-الجدول2[[#This Row],[قيمة الوحدة ]]</f>
        <v>0</v>
      </c>
    </row>
    <row r="3" spans="1:27" ht="18.399999999999999" x14ac:dyDescent="0.85">
      <c r="A3" s="7">
        <v>2</v>
      </c>
      <c r="B3" s="6" t="s">
        <v>158</v>
      </c>
      <c r="C3" s="7" t="s">
        <v>27</v>
      </c>
      <c r="D3" s="8">
        <v>143.03</v>
      </c>
      <c r="E3" s="6" t="s">
        <v>33</v>
      </c>
      <c r="F3" s="6" t="s">
        <v>98</v>
      </c>
      <c r="G3" s="49">
        <v>593633</v>
      </c>
      <c r="H3" s="30">
        <v>46071</v>
      </c>
      <c r="I3" s="7"/>
      <c r="J3" s="8">
        <f>SUMIF('الدفعات والتحصيل'!B:B,الجدول2[[#This Row],[رقم الوحدة]],'الدفعات والتحصيل'!D:D)</f>
        <v>415543.1</v>
      </c>
      <c r="K3" s="16">
        <f>IFERROR(الجدول2[[#This Row],[إجمالي الدفعات المحصلة]]/الجدول2[[#This Row],[قيمة الوحدة ]],0)</f>
        <v>0.7</v>
      </c>
      <c r="L3" s="8">
        <f>'العملاء والوحدات'!$G3-'العملاء والوحدات'!$J3</f>
        <v>178089.90000000002</v>
      </c>
      <c r="M3" s="15">
        <f>الجدول2[[#This Row],[قيمة الوحدة ]]/1.035</f>
        <v>573558.45410628023</v>
      </c>
      <c r="N3" s="8">
        <f>الجدول2[[#This Row],[قيمة الوحدة بدون السعي ]]*0.035</f>
        <v>20074.545893719809</v>
      </c>
      <c r="O3" s="8">
        <f>الجدول2[[#This Row],[العمولة ]]*0.15</f>
        <v>3011.1818840579713</v>
      </c>
      <c r="P3" s="8">
        <f>الجدول2[[#This Row],[ضريبة العمولة ]]+الجدول2[[#This Row],[العمولة ]]</f>
        <v>23085.727777777782</v>
      </c>
      <c r="Q3" s="8">
        <v>5750</v>
      </c>
      <c r="R3" s="8">
        <f>الجدول2[[#This Row],[مكافاة البيع ]]+الجدول2[[#This Row],[العمولة شاملة الضريبة ]]</f>
        <v>28835.727777777782</v>
      </c>
      <c r="S3" s="53">
        <f>الجدول2[[#This Row],[العمولة + مكافاة البيع]]</f>
        <v>28835.727777777782</v>
      </c>
      <c r="T3" s="8">
        <f>الجدول2[[#This Row],[العمولة + مكافاة البيع]]-الجدول2[[#This Row],[المسدد من العمولة ]]</f>
        <v>0</v>
      </c>
      <c r="U3" s="8"/>
      <c r="V3" s="31">
        <f>الجدول2[[#This Row],[قيمة الوحدة ]]*0.7-الجدول2[[#This Row],[إجمالي الدفعات المحصلة]]</f>
        <v>0</v>
      </c>
      <c r="W3" s="31">
        <f>الجدول2[[#This Row],[قيمة الوحدة ]]*0.15</f>
        <v>89044.95</v>
      </c>
      <c r="X3" s="31">
        <f>الجدول2[[#This Row],[قيمة الوحدة ]]*0.1</f>
        <v>59363.3</v>
      </c>
      <c r="Y3" s="31">
        <f>الجدول2[[#This Row],[قيمة الوحدة ]]*0.05</f>
        <v>29681.65</v>
      </c>
      <c r="Z3" s="8">
        <f>SUM(الجدول2[[#This Row],[تحصيل 4-2026 إيصال الى 70%]:[تحصيل 11-2026 إيصال الى 100%]])+الجدول2[[#This Row],[إجمالي الدفعات المحصلة]]</f>
        <v>593633</v>
      </c>
      <c r="AA3" s="8">
        <f>الجدول2[[#This Row],[اجمالي الوحدة المحصلة]]-الجدول2[[#This Row],[قيمة الوحدة ]]</f>
        <v>0</v>
      </c>
    </row>
    <row r="4" spans="1:27" ht="18.399999999999999" x14ac:dyDescent="0.85">
      <c r="A4" s="7">
        <v>3</v>
      </c>
      <c r="B4" s="6" t="s">
        <v>159</v>
      </c>
      <c r="C4" s="7" t="s">
        <v>27</v>
      </c>
      <c r="D4" s="8">
        <v>143.06</v>
      </c>
      <c r="E4" s="6" t="s">
        <v>33</v>
      </c>
      <c r="F4" s="6" t="s">
        <v>98</v>
      </c>
      <c r="G4" s="8">
        <v>574650</v>
      </c>
      <c r="H4" s="30">
        <v>46055</v>
      </c>
      <c r="I4" s="7"/>
      <c r="J4" s="8">
        <f>SUMIF('الدفعات والتحصيل'!B:B,الجدول2[[#This Row],[رقم الوحدة]],'الدفعات والتحصيل'!D:D)</f>
        <v>402255</v>
      </c>
      <c r="K4" s="16">
        <f>IFERROR(الجدول2[[#This Row],[إجمالي الدفعات المحصلة]]/الجدول2[[#This Row],[قيمة الوحدة ]],0)</f>
        <v>0.7</v>
      </c>
      <c r="L4" s="8">
        <f>'العملاء والوحدات'!$G4-'العملاء والوحدات'!$J4</f>
        <v>172395</v>
      </c>
      <c r="M4" s="8">
        <f>الجدول2[[#This Row],[قيمة الوحدة ]]/1.035</f>
        <v>555217.3913043479</v>
      </c>
      <c r="N4" s="8">
        <f>الجدول2[[#This Row],[قيمة الوحدة بدون السعي ]]*0.035</f>
        <v>19432.608695652179</v>
      </c>
      <c r="O4" s="8">
        <f>الجدول2[[#This Row],[العمولة ]]*0.15</f>
        <v>2914.8913043478269</v>
      </c>
      <c r="P4" s="8">
        <f>الجدول2[[#This Row],[ضريبة العمولة ]]+الجدول2[[#This Row],[العمولة ]]</f>
        <v>22347.500000000007</v>
      </c>
      <c r="Q4" s="8"/>
      <c r="R4" s="8">
        <f>الجدول2[[#This Row],[مكافاة البيع ]]+الجدول2[[#This Row],[العمولة شاملة الضريبة ]]</f>
        <v>22347.500000000007</v>
      </c>
      <c r="S4" s="8"/>
      <c r="T4" s="8">
        <f>الجدول2[[#This Row],[العمولة + مكافاة البيع]]-الجدول2[[#This Row],[المسدد من العمولة ]]</f>
        <v>22347.500000000007</v>
      </c>
      <c r="U4" s="8"/>
      <c r="V4" s="31">
        <f>الجدول2[[#This Row],[قيمة الوحدة ]]*0.7-الجدول2[[#This Row],[إجمالي الدفعات المحصلة]]</f>
        <v>0</v>
      </c>
      <c r="W4" s="31">
        <f>الجدول2[[#This Row],[قيمة الوحدة ]]*0.15</f>
        <v>86197.5</v>
      </c>
      <c r="X4" s="31">
        <f>الجدول2[[#This Row],[قيمة الوحدة ]]*0.1</f>
        <v>57465</v>
      </c>
      <c r="Y4" s="31">
        <f>الجدول2[[#This Row],[قيمة الوحدة ]]*0.05</f>
        <v>28732.5</v>
      </c>
      <c r="Z4" s="8">
        <f>SUM(الجدول2[[#This Row],[تحصيل 4-2026 إيصال الى 70%]:[تحصيل 11-2026 إيصال الى 100%]])+الجدول2[[#This Row],[إجمالي الدفعات المحصلة]]</f>
        <v>574650</v>
      </c>
      <c r="AA4" s="8">
        <f>الجدول2[[#This Row],[اجمالي الوحدة المحصلة]]-الجدول2[[#This Row],[قيمة الوحدة ]]</f>
        <v>0</v>
      </c>
    </row>
    <row r="5" spans="1:27" ht="18.399999999999999" x14ac:dyDescent="0.85">
      <c r="A5" s="7">
        <v>4</v>
      </c>
      <c r="B5" s="6" t="s">
        <v>173</v>
      </c>
      <c r="C5" s="7" t="s">
        <v>27</v>
      </c>
      <c r="D5" s="8">
        <v>149.04</v>
      </c>
      <c r="E5" s="6" t="s">
        <v>32</v>
      </c>
      <c r="F5" s="6" t="s">
        <v>98</v>
      </c>
      <c r="G5" s="8">
        <v>619870</v>
      </c>
      <c r="H5" s="30">
        <v>46069</v>
      </c>
      <c r="I5" s="7"/>
      <c r="J5" s="8">
        <f>SUMIF('الدفعات والتحصيل'!B:B,الجدول2[[#This Row],[رقم الوحدة]],'الدفعات والتحصيل'!D:D)</f>
        <v>309935</v>
      </c>
      <c r="K5" s="16">
        <f>IFERROR(الجدول2[[#This Row],[إجمالي الدفعات المحصلة]]/الجدول2[[#This Row],[قيمة الوحدة ]],0)</f>
        <v>0.5</v>
      </c>
      <c r="L5" s="8">
        <f>'العملاء والوحدات'!$G5-'العملاء والوحدات'!$J5</f>
        <v>309935</v>
      </c>
      <c r="M5" s="8">
        <f>الجدول2[[#This Row],[قيمة الوحدة ]]/1.035</f>
        <v>598908.21256038651</v>
      </c>
      <c r="N5" s="8">
        <f>الجدول2[[#This Row],[قيمة الوحدة بدون السعي ]]*0.035</f>
        <v>20961.78743961353</v>
      </c>
      <c r="O5" s="8">
        <f>الجدول2[[#This Row],[العمولة ]]*0.15</f>
        <v>3144.2681159420295</v>
      </c>
      <c r="P5" s="8">
        <f>الجدول2[[#This Row],[ضريبة العمولة ]]+الجدول2[[#This Row],[العمولة ]]</f>
        <v>24106.055555555558</v>
      </c>
      <c r="Q5" s="8">
        <v>5750</v>
      </c>
      <c r="R5" s="8">
        <f>الجدول2[[#This Row],[مكافاة البيع ]]+الجدول2[[#This Row],[العمولة شاملة الضريبة ]]</f>
        <v>29856.055555555558</v>
      </c>
      <c r="S5" s="8">
        <f>الجدول2[[#This Row],[العمولة + مكافاة البيع]]</f>
        <v>29856.055555555558</v>
      </c>
      <c r="T5" s="8">
        <f>الجدول2[[#This Row],[العمولة + مكافاة البيع]]-الجدول2[[#This Row],[المسدد من العمولة ]]</f>
        <v>0</v>
      </c>
      <c r="U5" s="8"/>
      <c r="V5" s="31">
        <f>الجدول2[[#This Row],[قيمة الوحدة ]]*0.7-الجدول2[[#This Row],[إجمالي الدفعات المحصلة]]</f>
        <v>123974</v>
      </c>
      <c r="W5" s="31">
        <f>الجدول2[[#This Row],[قيمة الوحدة ]]*0.15</f>
        <v>92980.5</v>
      </c>
      <c r="X5" s="31">
        <f>الجدول2[[#This Row],[قيمة الوحدة ]]*0.1</f>
        <v>61987</v>
      </c>
      <c r="Y5" s="31">
        <f>الجدول2[[#This Row],[قيمة الوحدة ]]*0.05</f>
        <v>30993.5</v>
      </c>
      <c r="Z5" s="8">
        <f>SUM(الجدول2[[#This Row],[تحصيل 4-2026 إيصال الى 70%]:[تحصيل 11-2026 إيصال الى 100%]])+الجدول2[[#This Row],[إجمالي الدفعات المحصلة]]</f>
        <v>619870</v>
      </c>
      <c r="AA5" s="8">
        <f>الجدول2[[#This Row],[اجمالي الوحدة المحصلة]]-الجدول2[[#This Row],[قيمة الوحدة ]]</f>
        <v>0</v>
      </c>
    </row>
    <row r="6" spans="1:27" ht="18.399999999999999" hidden="1" x14ac:dyDescent="0.85">
      <c r="A6" s="7">
        <v>5</v>
      </c>
      <c r="B6" s="6" t="s">
        <v>117</v>
      </c>
      <c r="C6" s="7" t="s">
        <v>27</v>
      </c>
      <c r="D6" s="8">
        <v>116.25</v>
      </c>
      <c r="E6" s="6" t="s">
        <v>34</v>
      </c>
      <c r="F6" s="6" t="s">
        <v>99</v>
      </c>
      <c r="G6" s="8">
        <v>527415</v>
      </c>
      <c r="H6" s="30">
        <v>46068</v>
      </c>
      <c r="I6" s="7"/>
      <c r="J6" s="8">
        <v>1</v>
      </c>
      <c r="K6" s="16">
        <f>IFERROR(الجدول2[[#This Row],[إجمالي الدفعات المحصلة]]/الجدول2[[#This Row],[قيمة الوحدة ]],0)</f>
        <v>1.8960401202089435E-6</v>
      </c>
      <c r="L6" s="8">
        <f>'العملاء والوحدات'!$G6-'العملاء والوحدات'!$J6</f>
        <v>527414</v>
      </c>
      <c r="M6" s="8">
        <f>الجدول2[[#This Row],[قيمة الوحدة ]]/1.035</f>
        <v>509579.71014492755</v>
      </c>
      <c r="N6" s="8">
        <f>الجدول2[[#This Row],[قيمة الوحدة بدون السعي ]]*0.035</f>
        <v>17835.289855072468</v>
      </c>
      <c r="O6" s="8">
        <f>الجدول2[[#This Row],[العمولة ]]*0.15</f>
        <v>2675.29347826087</v>
      </c>
      <c r="P6" s="8">
        <f>الجدول2[[#This Row],[ضريبة العمولة ]]+الجدول2[[#This Row],[العمولة ]]</f>
        <v>20510.583333333336</v>
      </c>
      <c r="Q6" s="8"/>
      <c r="R6" s="8">
        <f>الجدول2[[#This Row],[مكافاة البيع ]]+الجدول2[[#This Row],[العمولة شاملة الضريبة ]]</f>
        <v>20510.583333333336</v>
      </c>
      <c r="S6" s="8"/>
      <c r="T6" s="8">
        <f>الجدول2[[#This Row],[العمولة + مكافاة البيع]]-الجدول2[[#This Row],[المسدد من العمولة ]]</f>
        <v>20510.583333333336</v>
      </c>
      <c r="U6" s="8"/>
      <c r="V6" s="31">
        <f>الجدول2[[#This Row],[قيمة الوحدة ]]*0.7-الجدول2[[#This Row],[إجمالي الدفعات المحصلة]]</f>
        <v>369189.5</v>
      </c>
      <c r="W6" s="31">
        <f>الجدول2[[#This Row],[قيمة الوحدة ]]*0.15</f>
        <v>79112.25</v>
      </c>
      <c r="X6" s="31">
        <f>الجدول2[[#This Row],[قيمة الوحدة ]]*0.1</f>
        <v>52741.5</v>
      </c>
      <c r="Y6" s="31">
        <f>الجدول2[[#This Row],[قيمة الوحدة ]]*0.05</f>
        <v>26370.75</v>
      </c>
      <c r="Z6" s="8">
        <f>SUM(الجدول2[[#This Row],[تحصيل 4-2026 إيصال الى 70%]:[تحصيل 11-2026 إيصال الى 100%]])+الجدول2[[#This Row],[إجمالي الدفعات المحصلة]]</f>
        <v>527415</v>
      </c>
      <c r="AA6" s="8">
        <f>الجدول2[[#This Row],[اجمالي الوحدة المحصلة]]-الجدول2[[#This Row],[قيمة الوحدة ]]</f>
        <v>0</v>
      </c>
    </row>
    <row r="7" spans="1:27" ht="18.399999999999999" hidden="1" x14ac:dyDescent="0.85">
      <c r="A7" s="7">
        <v>6</v>
      </c>
      <c r="B7" s="6" t="s">
        <v>118</v>
      </c>
      <c r="C7" s="7" t="s">
        <v>27</v>
      </c>
      <c r="D7" s="8">
        <v>152.13999999999999</v>
      </c>
      <c r="E7" s="6" t="s">
        <v>32</v>
      </c>
      <c r="F7" s="6" t="s">
        <v>100</v>
      </c>
      <c r="G7" s="8">
        <v>723293</v>
      </c>
      <c r="H7" s="30">
        <v>46053</v>
      </c>
      <c r="I7" s="7"/>
      <c r="J7" s="8">
        <v>1</v>
      </c>
      <c r="K7" s="16">
        <f>IFERROR(الجدول2[[#This Row],[إجمالي الدفعات المحصلة]]/الجدول2[[#This Row],[قيمة الوحدة ]],0)</f>
        <v>1.3825655716286484E-6</v>
      </c>
      <c r="L7" s="8">
        <f>'العملاء والوحدات'!$G7-'العملاء والوحدات'!$J7</f>
        <v>723292</v>
      </c>
      <c r="M7" s="8">
        <f>الجدول2[[#This Row],[قيمة الوحدة ]]/1.035</f>
        <v>698833.81642512081</v>
      </c>
      <c r="N7" s="8">
        <f>الجدول2[[#This Row],[قيمة الوحدة بدون السعي ]]*0.035</f>
        <v>24459.183574879229</v>
      </c>
      <c r="O7" s="8">
        <f>الجدول2[[#This Row],[العمولة ]]*0.15</f>
        <v>3668.8775362318843</v>
      </c>
      <c r="P7" s="8">
        <f>الجدول2[[#This Row],[ضريبة العمولة ]]+الجدول2[[#This Row],[العمولة ]]</f>
        <v>28128.061111111114</v>
      </c>
      <c r="Q7" s="8"/>
      <c r="R7" s="54">
        <f>الجدول2[[#This Row],[مكافاة البيع ]]+الجدول2[[#This Row],[العمولة شاملة الضريبة ]]</f>
        <v>28128.061111111114</v>
      </c>
      <c r="S7" s="8"/>
      <c r="T7" s="8">
        <f>الجدول2[[#This Row],[العمولة + مكافاة البيع]]-الجدول2[[#This Row],[المسدد من العمولة ]]</f>
        <v>28128.061111111114</v>
      </c>
      <c r="U7" s="8"/>
      <c r="V7" s="31">
        <f>الجدول2[[#This Row],[قيمة الوحدة ]]*0.7-الجدول2[[#This Row],[إجمالي الدفعات المحصلة]]</f>
        <v>506304.1</v>
      </c>
      <c r="W7" s="31">
        <f>الجدول2[[#This Row],[قيمة الوحدة ]]*0.15</f>
        <v>108493.95</v>
      </c>
      <c r="X7" s="31">
        <f>الجدول2[[#This Row],[قيمة الوحدة ]]*0.1</f>
        <v>72329.3</v>
      </c>
      <c r="Y7" s="31">
        <f>الجدول2[[#This Row],[قيمة الوحدة ]]*0.05</f>
        <v>36164.65</v>
      </c>
      <c r="Z7" s="8">
        <f>SUM(الجدول2[[#This Row],[تحصيل 4-2026 إيصال الى 70%]:[تحصيل 11-2026 إيصال الى 100%]])+الجدول2[[#This Row],[إجمالي الدفعات المحصلة]]</f>
        <v>723293</v>
      </c>
      <c r="AA7" s="8">
        <f>الجدول2[[#This Row],[اجمالي الوحدة المحصلة]]-الجدول2[[#This Row],[قيمة الوحدة ]]</f>
        <v>0</v>
      </c>
    </row>
    <row r="8" spans="1:27" ht="18.399999999999999" hidden="1" x14ac:dyDescent="0.85">
      <c r="A8" s="7">
        <v>7</v>
      </c>
      <c r="B8" s="6" t="s">
        <v>174</v>
      </c>
      <c r="C8" s="7" t="s">
        <v>27</v>
      </c>
      <c r="D8" s="8">
        <v>152.11000000000001</v>
      </c>
      <c r="E8" s="6" t="s">
        <v>32</v>
      </c>
      <c r="F8" s="6" t="s">
        <v>109</v>
      </c>
      <c r="G8" s="8">
        <v>723293</v>
      </c>
      <c r="H8" s="30">
        <v>46051</v>
      </c>
      <c r="I8" s="7"/>
      <c r="J8" s="8">
        <v>1</v>
      </c>
      <c r="K8" s="16">
        <f>IFERROR(الجدول2[[#This Row],[إجمالي الدفعات المحصلة]]/الجدول2[[#This Row],[قيمة الوحدة ]],0)</f>
        <v>1.3825655716286484E-6</v>
      </c>
      <c r="L8" s="8">
        <f>'العملاء والوحدات'!$G8-'العملاء والوحدات'!$J8</f>
        <v>723292</v>
      </c>
      <c r="M8" s="8">
        <f>الجدول2[[#This Row],[قيمة الوحدة ]]/1.035</f>
        <v>698833.81642512081</v>
      </c>
      <c r="N8" s="8">
        <f>الجدول2[[#This Row],[قيمة الوحدة بدون السعي ]]*0.035</f>
        <v>24459.183574879229</v>
      </c>
      <c r="O8" s="8">
        <f>الجدول2[[#This Row],[العمولة ]]*0.15</f>
        <v>3668.8775362318843</v>
      </c>
      <c r="P8" s="8">
        <f>الجدول2[[#This Row],[ضريبة العمولة ]]+الجدول2[[#This Row],[العمولة ]]</f>
        <v>28128.061111111114</v>
      </c>
      <c r="Q8" s="8"/>
      <c r="R8" s="54">
        <f>الجدول2[[#This Row],[مكافاة البيع ]]+الجدول2[[#This Row],[العمولة شاملة الضريبة ]]</f>
        <v>28128.061111111114</v>
      </c>
      <c r="S8" s="8"/>
      <c r="T8" s="8">
        <f>الجدول2[[#This Row],[العمولة + مكافاة البيع]]-الجدول2[[#This Row],[المسدد من العمولة ]]</f>
        <v>28128.061111111114</v>
      </c>
      <c r="U8" s="8"/>
      <c r="V8" s="31">
        <f>الجدول2[[#This Row],[قيمة الوحدة ]]*0.7-الجدول2[[#This Row],[إجمالي الدفعات المحصلة]]</f>
        <v>506304.1</v>
      </c>
      <c r="W8" s="31">
        <f>الجدول2[[#This Row],[قيمة الوحدة ]]*0.15</f>
        <v>108493.95</v>
      </c>
      <c r="X8" s="31">
        <f>الجدول2[[#This Row],[قيمة الوحدة ]]*0.1</f>
        <v>72329.3</v>
      </c>
      <c r="Y8" s="31">
        <f>الجدول2[[#This Row],[قيمة الوحدة ]]*0.05</f>
        <v>36164.65</v>
      </c>
      <c r="Z8" s="8">
        <f>SUM(الجدول2[[#This Row],[تحصيل 4-2026 إيصال الى 70%]:[تحصيل 11-2026 إيصال الى 100%]])+الجدول2[[#This Row],[إجمالي الدفعات المحصلة]]</f>
        <v>723293</v>
      </c>
      <c r="AA8" s="8">
        <f>الجدول2[[#This Row],[اجمالي الوحدة المحصلة]]-الجدول2[[#This Row],[قيمة الوحدة ]]</f>
        <v>0</v>
      </c>
    </row>
    <row r="9" spans="1:27" ht="18.399999999999999" hidden="1" x14ac:dyDescent="0.85">
      <c r="A9" s="7">
        <v>8</v>
      </c>
      <c r="B9" s="6" t="s">
        <v>119</v>
      </c>
      <c r="C9" s="7" t="s">
        <v>27</v>
      </c>
      <c r="D9" s="8">
        <v>116.17</v>
      </c>
      <c r="E9" s="6" t="s">
        <v>34</v>
      </c>
      <c r="F9" s="6" t="s">
        <v>102</v>
      </c>
      <c r="G9" s="8">
        <v>502300</v>
      </c>
      <c r="H9" s="30">
        <v>46058</v>
      </c>
      <c r="I9" s="7"/>
      <c r="J9" s="8">
        <v>1</v>
      </c>
      <c r="K9" s="16">
        <f>IFERROR(الجدول2[[#This Row],[إجمالي الدفعات المحصلة]]/الجدول2[[#This Row],[قيمة الوحدة ]],0)</f>
        <v>1.9908421262193906E-6</v>
      </c>
      <c r="L9" s="8">
        <f>'العملاء والوحدات'!$G9-'العملاء والوحدات'!$J9</f>
        <v>502299</v>
      </c>
      <c r="M9" s="8">
        <f>الجدول2[[#This Row],[قيمة الوحدة ]]/1.035</f>
        <v>485314.00966183579</v>
      </c>
      <c r="N9" s="8">
        <f>الجدول2[[#This Row],[قيمة الوحدة بدون السعي ]]*0.035</f>
        <v>16985.990338164254</v>
      </c>
      <c r="O9" s="8">
        <f>الجدول2[[#This Row],[العمولة ]]*0.15</f>
        <v>2547.898550724638</v>
      </c>
      <c r="P9" s="8">
        <f>الجدول2[[#This Row],[ضريبة العمولة ]]+الجدول2[[#This Row],[العمولة ]]</f>
        <v>19533.888888888891</v>
      </c>
      <c r="Q9" s="8"/>
      <c r="R9" s="54">
        <f>الجدول2[[#This Row],[مكافاة البيع ]]+الجدول2[[#This Row],[العمولة شاملة الضريبة ]]</f>
        <v>19533.888888888891</v>
      </c>
      <c r="S9" s="8"/>
      <c r="T9" s="8">
        <f>الجدول2[[#This Row],[العمولة + مكافاة البيع]]-الجدول2[[#This Row],[المسدد من العمولة ]]</f>
        <v>19533.888888888891</v>
      </c>
      <c r="U9" s="8"/>
      <c r="V9" s="31">
        <f>الجدول2[[#This Row],[قيمة الوحدة ]]*0.7-الجدول2[[#This Row],[إجمالي الدفعات المحصلة]]</f>
        <v>351609</v>
      </c>
      <c r="W9" s="31">
        <f>الجدول2[[#This Row],[قيمة الوحدة ]]*0.15</f>
        <v>75345</v>
      </c>
      <c r="X9" s="31">
        <f>الجدول2[[#This Row],[قيمة الوحدة ]]*0.1</f>
        <v>50230</v>
      </c>
      <c r="Y9" s="31">
        <f>الجدول2[[#This Row],[قيمة الوحدة ]]*0.05</f>
        <v>25115</v>
      </c>
      <c r="Z9" s="8">
        <f>SUM(الجدول2[[#This Row],[تحصيل 4-2026 إيصال الى 70%]:[تحصيل 11-2026 إيصال الى 100%]])+الجدول2[[#This Row],[إجمالي الدفعات المحصلة]]</f>
        <v>502300</v>
      </c>
      <c r="AA9" s="8">
        <f>الجدول2[[#This Row],[اجمالي الوحدة المحصلة]]-الجدول2[[#This Row],[قيمة الوحدة ]]</f>
        <v>0</v>
      </c>
    </row>
    <row r="10" spans="1:27" ht="18.399999999999999" hidden="1" x14ac:dyDescent="0.85">
      <c r="A10" s="7">
        <v>9</v>
      </c>
      <c r="B10" s="6" t="s">
        <v>127</v>
      </c>
      <c r="C10" s="7" t="s">
        <v>28</v>
      </c>
      <c r="D10" s="8">
        <v>116.11</v>
      </c>
      <c r="E10" s="6" t="s">
        <v>34</v>
      </c>
      <c r="F10" s="6" t="s">
        <v>101</v>
      </c>
      <c r="G10" s="8">
        <v>482300</v>
      </c>
      <c r="H10" s="30">
        <v>46033</v>
      </c>
      <c r="I10" s="7"/>
      <c r="J10" s="8">
        <v>1</v>
      </c>
      <c r="K10" s="16">
        <f>IFERROR(الجدول2[[#This Row],[إجمالي الدفعات المحصلة]]/الجدول2[[#This Row],[قيمة الوحدة ]],0)</f>
        <v>2.0733982998133941E-6</v>
      </c>
      <c r="L10" s="8">
        <f>'العملاء والوحدات'!$G10-'العملاء والوحدات'!$J10</f>
        <v>482299</v>
      </c>
      <c r="M10" s="8">
        <f>الجدول2[[#This Row],[قيمة الوحدة ]]/1.035</f>
        <v>465990.33816425124</v>
      </c>
      <c r="N10" s="8">
        <f>الجدول2[[#This Row],[قيمة الوحدة بدون السعي ]]*0.035</f>
        <v>16309.661835748795</v>
      </c>
      <c r="O10" s="8">
        <f>الجدول2[[#This Row],[العمولة ]]*0.15</f>
        <v>2446.449275362319</v>
      </c>
      <c r="P10" s="8">
        <f>الجدول2[[#This Row],[ضريبة العمولة ]]+الجدول2[[#This Row],[العمولة ]]</f>
        <v>18756.111111111113</v>
      </c>
      <c r="Q10" s="8"/>
      <c r="R10" s="8">
        <f>الجدول2[[#This Row],[مكافاة البيع ]]+الجدول2[[#This Row],[العمولة شاملة الضريبة ]]</f>
        <v>18756.111111111113</v>
      </c>
      <c r="S10" s="8"/>
      <c r="T10" s="8">
        <f>الجدول2[[#This Row],[العمولة + مكافاة البيع]]-الجدول2[[#This Row],[المسدد من العمولة ]]</f>
        <v>18756.111111111113</v>
      </c>
      <c r="U10" s="8"/>
      <c r="V10" s="31">
        <f>الجدول2[[#This Row],[قيمة الوحدة ]]*0.7-الجدول2[[#This Row],[إجمالي الدفعات المحصلة]]</f>
        <v>337609</v>
      </c>
      <c r="W10" s="31">
        <f>الجدول2[[#This Row],[قيمة الوحدة ]]*0.15</f>
        <v>72345</v>
      </c>
      <c r="X10" s="31">
        <f>الجدول2[[#This Row],[قيمة الوحدة ]]*0.1</f>
        <v>48230</v>
      </c>
      <c r="Y10" s="31">
        <f>الجدول2[[#This Row],[قيمة الوحدة ]]*0.05</f>
        <v>24115</v>
      </c>
      <c r="Z10" s="8">
        <f>SUM(الجدول2[[#This Row],[تحصيل 4-2026 إيصال الى 70%]:[تحصيل 11-2026 إيصال الى 100%]])+الجدول2[[#This Row],[إجمالي الدفعات المحصلة]]</f>
        <v>482300</v>
      </c>
      <c r="AA10" s="8">
        <f>الجدول2[[#This Row],[اجمالي الوحدة المحصلة]]-الجدول2[[#This Row],[قيمة الوحدة ]]</f>
        <v>0</v>
      </c>
    </row>
    <row r="11" spans="1:27" ht="18.399999999999999" x14ac:dyDescent="0.85">
      <c r="A11" s="7">
        <v>10</v>
      </c>
      <c r="B11" s="6" t="s">
        <v>160</v>
      </c>
      <c r="C11" s="7" t="s">
        <v>28</v>
      </c>
      <c r="D11" s="8">
        <v>132</v>
      </c>
      <c r="E11" s="6" t="s">
        <v>32</v>
      </c>
      <c r="F11" s="6" t="s">
        <v>103</v>
      </c>
      <c r="G11" s="49">
        <v>507350</v>
      </c>
      <c r="H11" s="30">
        <v>46047</v>
      </c>
      <c r="I11" s="7"/>
      <c r="J11" s="8">
        <f>SUMIF('الدفعات والتحصيل'!B:B,الجدول2[[#This Row],[رقم الوحدة]],'الدفعات والتحصيل'!D:D)</f>
        <v>253675</v>
      </c>
      <c r="K11" s="16">
        <f>IFERROR(الجدول2[[#This Row],[إجمالي الدفعات المحصلة]]/الجدول2[[#This Row],[قيمة الوحدة ]],0)</f>
        <v>0.5</v>
      </c>
      <c r="L11" s="8">
        <f>'العملاء والوحدات'!$G11-'العملاء والوحدات'!$J11</f>
        <v>253675</v>
      </c>
      <c r="M11" s="15">
        <f>الجدول2[[#This Row],[قيمة الوحدة ]]/1.035</f>
        <v>490193.23671497591</v>
      </c>
      <c r="N11" s="8">
        <f>الجدول2[[#This Row],[قيمة الوحدة بدون السعي ]]*0.035</f>
        <v>17156.763285024157</v>
      </c>
      <c r="O11" s="8">
        <f>الجدول2[[#This Row],[العمولة ]]*0.15</f>
        <v>2573.5144927536235</v>
      </c>
      <c r="P11" s="8">
        <f>الجدول2[[#This Row],[ضريبة العمولة ]]+الجدول2[[#This Row],[العمولة ]]</f>
        <v>19730.277777777781</v>
      </c>
      <c r="Q11" s="8"/>
      <c r="R11" s="8">
        <f>الجدول2[[#This Row],[مكافاة البيع ]]+الجدول2[[#This Row],[العمولة شاملة الضريبة ]]</f>
        <v>19730.277777777781</v>
      </c>
      <c r="S11" s="8"/>
      <c r="T11" s="8">
        <f>الجدول2[[#This Row],[العمولة + مكافاة البيع]]-الجدول2[[#This Row],[المسدد من العمولة ]]</f>
        <v>19730.277777777781</v>
      </c>
      <c r="U11" s="8"/>
      <c r="V11" s="31">
        <f>الجدول2[[#This Row],[قيمة الوحدة ]]*0.7-الجدول2[[#This Row],[إجمالي الدفعات المحصلة]]</f>
        <v>101470</v>
      </c>
      <c r="W11" s="31">
        <f>الجدول2[[#This Row],[قيمة الوحدة ]]*0.15</f>
        <v>76102.5</v>
      </c>
      <c r="X11" s="31">
        <f>الجدول2[[#This Row],[قيمة الوحدة ]]*0.1</f>
        <v>50735</v>
      </c>
      <c r="Y11" s="31">
        <f>الجدول2[[#This Row],[قيمة الوحدة ]]*0.05</f>
        <v>25367.5</v>
      </c>
      <c r="Z11" s="8">
        <f>SUM(الجدول2[[#This Row],[تحصيل 4-2026 إيصال الى 70%]:[تحصيل 11-2026 إيصال الى 100%]])+الجدول2[[#This Row],[إجمالي الدفعات المحصلة]]</f>
        <v>507350</v>
      </c>
      <c r="AA11" s="8">
        <f>الجدول2[[#This Row],[اجمالي الوحدة المحصلة]]-الجدول2[[#This Row],[قيمة الوحدة ]]</f>
        <v>0</v>
      </c>
    </row>
    <row r="12" spans="1:27" ht="18.399999999999999" x14ac:dyDescent="0.85">
      <c r="A12" s="7">
        <v>11</v>
      </c>
      <c r="B12" s="6" t="s">
        <v>161</v>
      </c>
      <c r="C12" s="7" t="s">
        <v>28</v>
      </c>
      <c r="D12" s="8">
        <v>131.63</v>
      </c>
      <c r="E12" s="6" t="s">
        <v>34</v>
      </c>
      <c r="F12" s="6" t="s">
        <v>99</v>
      </c>
      <c r="G12" s="8">
        <v>563686</v>
      </c>
      <c r="H12" s="30">
        <v>46065</v>
      </c>
      <c r="I12" s="7"/>
      <c r="J12" s="8">
        <f>SUMIF('الدفعات والتحصيل'!B:B,الجدول2[[#This Row],[رقم الوحدة]],'الدفعات والتحصيل'!D:D)</f>
        <v>281843</v>
      </c>
      <c r="K12" s="16">
        <f>IFERROR(الجدول2[[#This Row],[إجمالي الدفعات المحصلة]]/الجدول2[[#This Row],[قيمة الوحدة ]],0)</f>
        <v>0.5</v>
      </c>
      <c r="L12" s="8">
        <f>'العملاء والوحدات'!$G12-'العملاء والوحدات'!$J12</f>
        <v>281843</v>
      </c>
      <c r="M12" s="8">
        <f>الجدول2[[#This Row],[قيمة الوحدة ]]/1.035</f>
        <v>544624.15458937199</v>
      </c>
      <c r="N12" s="8">
        <f>الجدول2[[#This Row],[قيمة الوحدة بدون السعي ]]*0.035</f>
        <v>19061.845410628022</v>
      </c>
      <c r="O12" s="8">
        <f>الجدول2[[#This Row],[العمولة ]]*0.15</f>
        <v>2859.2768115942031</v>
      </c>
      <c r="P12" s="8">
        <f>الجدول2[[#This Row],[ضريبة العمولة ]]+الجدول2[[#This Row],[العمولة ]]</f>
        <v>21921.122222222224</v>
      </c>
      <c r="Q12" s="8">
        <v>5750</v>
      </c>
      <c r="R12" s="8">
        <f>الجدول2[[#This Row],[مكافاة البيع ]]+الجدول2[[#This Row],[العمولة شاملة الضريبة ]]</f>
        <v>27671.122222222224</v>
      </c>
      <c r="S12" s="15">
        <f>الجدول2[[#This Row],[العمولة + مكافاة البيع]]</f>
        <v>27671.122222222224</v>
      </c>
      <c r="T12" s="8">
        <f>الجدول2[[#This Row],[العمولة + مكافاة البيع]]-الجدول2[[#This Row],[المسدد من العمولة ]]</f>
        <v>0</v>
      </c>
      <c r="U12" s="8"/>
      <c r="V12" s="31">
        <f>الجدول2[[#This Row],[قيمة الوحدة ]]*0.7-الجدول2[[#This Row],[إجمالي الدفعات المحصلة]]</f>
        <v>112737.19999999995</v>
      </c>
      <c r="W12" s="31">
        <f>الجدول2[[#This Row],[قيمة الوحدة ]]*0.15</f>
        <v>84552.9</v>
      </c>
      <c r="X12" s="31">
        <f>الجدول2[[#This Row],[قيمة الوحدة ]]*0.1</f>
        <v>56368.600000000006</v>
      </c>
      <c r="Y12" s="31">
        <f>الجدول2[[#This Row],[قيمة الوحدة ]]*0.05</f>
        <v>28184.300000000003</v>
      </c>
      <c r="Z12" s="8">
        <f>SUM(الجدول2[[#This Row],[تحصيل 4-2026 إيصال الى 70%]:[تحصيل 11-2026 إيصال الى 100%]])+الجدول2[[#This Row],[إجمالي الدفعات المحصلة]]</f>
        <v>563686</v>
      </c>
      <c r="AA12" s="8">
        <f>الجدول2[[#This Row],[اجمالي الوحدة المحصلة]]-الجدول2[[#This Row],[قيمة الوحدة ]]</f>
        <v>0</v>
      </c>
    </row>
    <row r="13" spans="1:27" ht="18.399999999999999" x14ac:dyDescent="0.85">
      <c r="A13" s="7">
        <v>12</v>
      </c>
      <c r="B13" s="6" t="s">
        <v>162</v>
      </c>
      <c r="C13" s="7" t="s">
        <v>28</v>
      </c>
      <c r="D13" s="8">
        <v>115.99</v>
      </c>
      <c r="E13" s="6" t="s">
        <v>34</v>
      </c>
      <c r="F13" s="6" t="s">
        <v>104</v>
      </c>
      <c r="G13" s="8">
        <v>497000</v>
      </c>
      <c r="H13" s="30">
        <v>46054</v>
      </c>
      <c r="I13" s="7"/>
      <c r="J13" s="8">
        <f>SUMIF('الدفعات والتحصيل'!B:B,الجدول2[[#This Row],[رقم الوحدة]],'الدفعات والتحصيل'!D:D)</f>
        <v>347900</v>
      </c>
      <c r="K13" s="16">
        <f>IFERROR(الجدول2[[#This Row],[إجمالي الدفعات المحصلة]]/الجدول2[[#This Row],[قيمة الوحدة ]],0)</f>
        <v>0.7</v>
      </c>
      <c r="L13" s="8">
        <f>'العملاء والوحدات'!$G13-'العملاء والوحدات'!$J13</f>
        <v>149100</v>
      </c>
      <c r="M13" s="8">
        <f>الجدول2[[#This Row],[قيمة الوحدة ]]/1.035</f>
        <v>480193.23671497591</v>
      </c>
      <c r="N13" s="8">
        <f>الجدول2[[#This Row],[قيمة الوحدة بدون السعي ]]*0.035</f>
        <v>16806.763285024157</v>
      </c>
      <c r="O13" s="8">
        <f>الجدول2[[#This Row],[العمولة ]]*0.15</f>
        <v>2521.0144927536235</v>
      </c>
      <c r="P13" s="8">
        <f>الجدول2[[#This Row],[ضريبة العمولة ]]+الجدول2[[#This Row],[العمولة ]]</f>
        <v>19327.777777777781</v>
      </c>
      <c r="Q13" s="8">
        <v>4888</v>
      </c>
      <c r="R13" s="8">
        <f>الجدول2[[#This Row],[مكافاة البيع ]]+الجدول2[[#This Row],[العمولة شاملة الضريبة ]]</f>
        <v>24215.777777777781</v>
      </c>
      <c r="S13" s="15">
        <f>الجدول2[[#This Row],[العمولة + مكافاة البيع]]</f>
        <v>24215.777777777781</v>
      </c>
      <c r="T13" s="8">
        <f>الجدول2[[#This Row],[العمولة + مكافاة البيع]]-الجدول2[[#This Row],[المسدد من العمولة ]]</f>
        <v>0</v>
      </c>
      <c r="U13" s="8"/>
      <c r="V13" s="31">
        <f>الجدول2[[#This Row],[قيمة الوحدة ]]*0.7-الجدول2[[#This Row],[إجمالي الدفعات المحصلة]]</f>
        <v>0</v>
      </c>
      <c r="W13" s="31">
        <f>الجدول2[[#This Row],[قيمة الوحدة ]]*0.15</f>
        <v>74550</v>
      </c>
      <c r="X13" s="31">
        <f>الجدول2[[#This Row],[قيمة الوحدة ]]*0.1</f>
        <v>49700</v>
      </c>
      <c r="Y13" s="31">
        <f>الجدول2[[#This Row],[قيمة الوحدة ]]*0.05</f>
        <v>24850</v>
      </c>
      <c r="Z13" s="8">
        <f>SUM(الجدول2[[#This Row],[تحصيل 4-2026 إيصال الى 70%]:[تحصيل 11-2026 إيصال الى 100%]])+الجدول2[[#This Row],[إجمالي الدفعات المحصلة]]</f>
        <v>497000</v>
      </c>
      <c r="AA13" s="8">
        <f>الجدول2[[#This Row],[اجمالي الوحدة المحصلة]]-الجدول2[[#This Row],[قيمة الوحدة ]]</f>
        <v>0</v>
      </c>
    </row>
    <row r="14" spans="1:27" ht="18.399999999999999" hidden="1" x14ac:dyDescent="0.85">
      <c r="A14" s="7">
        <v>13</v>
      </c>
      <c r="B14" s="6" t="s">
        <v>120</v>
      </c>
      <c r="C14" s="7" t="s">
        <v>28</v>
      </c>
      <c r="D14" s="8">
        <v>118.04</v>
      </c>
      <c r="E14" s="6" t="s">
        <v>34</v>
      </c>
      <c r="F14" s="6" t="s">
        <v>99</v>
      </c>
      <c r="G14" s="8">
        <v>491400</v>
      </c>
      <c r="H14" s="30">
        <v>46049</v>
      </c>
      <c r="I14" s="7"/>
      <c r="J14" s="8">
        <v>1</v>
      </c>
      <c r="K14" s="16">
        <f>IFERROR(الجدول2[[#This Row],[إجمالي الدفعات المحصلة]]/الجدول2[[#This Row],[قيمة الوحدة ]],0)</f>
        <v>2.0350020350020349E-6</v>
      </c>
      <c r="L14" s="8">
        <f>'العملاء والوحدات'!$G14-'العملاء والوحدات'!$J14</f>
        <v>491399</v>
      </c>
      <c r="M14" s="8">
        <f>الجدول2[[#This Row],[قيمة الوحدة ]]/1.035</f>
        <v>474782.60869565222</v>
      </c>
      <c r="N14" s="8">
        <f>الجدول2[[#This Row],[قيمة الوحدة بدون السعي ]]*0.035</f>
        <v>16617.391304347828</v>
      </c>
      <c r="O14" s="8">
        <f>الجدول2[[#This Row],[العمولة ]]*0.15</f>
        <v>2492.608695652174</v>
      </c>
      <c r="P14" s="8">
        <f>الجدول2[[#This Row],[ضريبة العمولة ]]+الجدول2[[#This Row],[العمولة ]]</f>
        <v>19110</v>
      </c>
      <c r="Q14" s="8"/>
      <c r="R14" s="8">
        <f>الجدول2[[#This Row],[مكافاة البيع ]]+الجدول2[[#This Row],[العمولة شاملة الضريبة ]]</f>
        <v>19110</v>
      </c>
      <c r="S14" s="8"/>
      <c r="T14" s="8">
        <f>الجدول2[[#This Row],[العمولة + مكافاة البيع]]-الجدول2[[#This Row],[المسدد من العمولة ]]</f>
        <v>19110</v>
      </c>
      <c r="U14" s="8"/>
      <c r="V14" s="31">
        <f>الجدول2[[#This Row],[قيمة الوحدة ]]*0.7-الجدول2[[#This Row],[إجمالي الدفعات المحصلة]]</f>
        <v>343979</v>
      </c>
      <c r="W14" s="31">
        <f>الجدول2[[#This Row],[قيمة الوحدة ]]*0.15</f>
        <v>73710</v>
      </c>
      <c r="X14" s="31">
        <f>الجدول2[[#This Row],[قيمة الوحدة ]]*0.1</f>
        <v>49140</v>
      </c>
      <c r="Y14" s="31">
        <f>الجدول2[[#This Row],[قيمة الوحدة ]]*0.05</f>
        <v>24570</v>
      </c>
      <c r="Z14" s="8">
        <f>SUM(الجدول2[[#This Row],[تحصيل 4-2026 إيصال الى 70%]:[تحصيل 11-2026 إيصال الى 100%]])+الجدول2[[#This Row],[إجمالي الدفعات المحصلة]]</f>
        <v>491400</v>
      </c>
      <c r="AA14" s="8">
        <f>الجدول2[[#This Row],[اجمالي الوحدة المحصلة]]-الجدول2[[#This Row],[قيمة الوحدة ]]</f>
        <v>0</v>
      </c>
    </row>
    <row r="15" spans="1:27" ht="18.399999999999999" x14ac:dyDescent="0.85">
      <c r="A15" s="7">
        <v>14</v>
      </c>
      <c r="B15" s="6" t="s">
        <v>163</v>
      </c>
      <c r="C15" s="7" t="s">
        <v>28</v>
      </c>
      <c r="D15" s="8">
        <v>140.56</v>
      </c>
      <c r="E15" s="6" t="s">
        <v>32</v>
      </c>
      <c r="F15" s="6" t="s">
        <v>105</v>
      </c>
      <c r="G15" s="8">
        <v>546000</v>
      </c>
      <c r="H15" s="30">
        <v>46051</v>
      </c>
      <c r="I15" s="7"/>
      <c r="J15" s="8">
        <f>SUMIF('الدفعات والتحصيل'!B:B,الجدول2[[#This Row],[رقم الوحدة]],'الدفعات والتحصيل'!D:D)</f>
        <v>273000</v>
      </c>
      <c r="K15" s="16">
        <f>IFERROR(الجدول2[[#This Row],[إجمالي الدفعات المحصلة]]/الجدول2[[#This Row],[قيمة الوحدة ]],0)</f>
        <v>0.5</v>
      </c>
      <c r="L15" s="8">
        <f>'العملاء والوحدات'!$G15-'العملاء والوحدات'!$J15</f>
        <v>273000</v>
      </c>
      <c r="M15" s="8">
        <f>الجدول2[[#This Row],[قيمة الوحدة ]]/1.035</f>
        <v>527536.23188405798</v>
      </c>
      <c r="N15" s="8">
        <f>الجدول2[[#This Row],[قيمة الوحدة بدون السعي ]]*0.035</f>
        <v>18463.768115942032</v>
      </c>
      <c r="O15" s="8">
        <f>الجدول2[[#This Row],[العمولة ]]*0.15</f>
        <v>2769.5652173913045</v>
      </c>
      <c r="P15" s="8">
        <f>الجدول2[[#This Row],[ضريبة العمولة ]]+الجدول2[[#This Row],[العمولة ]]</f>
        <v>21233.333333333336</v>
      </c>
      <c r="Q15" s="8">
        <v>5750</v>
      </c>
      <c r="R15" s="8">
        <f>الجدول2[[#This Row],[مكافاة البيع ]]+الجدول2[[#This Row],[العمولة شاملة الضريبة ]]</f>
        <v>26983.333333333336</v>
      </c>
      <c r="S15" s="15">
        <f>الجدول2[[#This Row],[العمولة + مكافاة البيع]]</f>
        <v>26983.333333333336</v>
      </c>
      <c r="T15" s="8">
        <f>الجدول2[[#This Row],[العمولة + مكافاة البيع]]-الجدول2[[#This Row],[المسدد من العمولة ]]</f>
        <v>0</v>
      </c>
      <c r="U15" s="8"/>
      <c r="V15" s="31">
        <f>الجدول2[[#This Row],[قيمة الوحدة ]]*0.7-الجدول2[[#This Row],[إجمالي الدفعات المحصلة]]</f>
        <v>109200</v>
      </c>
      <c r="W15" s="31">
        <f>الجدول2[[#This Row],[قيمة الوحدة ]]*0.15</f>
        <v>81900</v>
      </c>
      <c r="X15" s="31">
        <f>الجدول2[[#This Row],[قيمة الوحدة ]]*0.1</f>
        <v>54600</v>
      </c>
      <c r="Y15" s="31">
        <f>الجدول2[[#This Row],[قيمة الوحدة ]]*0.05</f>
        <v>27300</v>
      </c>
      <c r="Z15" s="8">
        <f>SUM(الجدول2[[#This Row],[تحصيل 4-2026 إيصال الى 70%]:[تحصيل 11-2026 إيصال الى 100%]])+الجدول2[[#This Row],[إجمالي الدفعات المحصلة]]</f>
        <v>546000</v>
      </c>
      <c r="AA15" s="8">
        <f>الجدول2[[#This Row],[اجمالي الوحدة المحصلة]]-الجدول2[[#This Row],[قيمة الوحدة ]]</f>
        <v>0</v>
      </c>
    </row>
    <row r="16" spans="1:27" ht="18.399999999999999" x14ac:dyDescent="0.85">
      <c r="A16" s="7">
        <v>15</v>
      </c>
      <c r="B16" s="6" t="s">
        <v>164</v>
      </c>
      <c r="C16" s="7" t="s">
        <v>28</v>
      </c>
      <c r="D16" s="8">
        <v>154.32</v>
      </c>
      <c r="E16" s="6" t="s">
        <v>32</v>
      </c>
      <c r="F16" s="6" t="s">
        <v>106</v>
      </c>
      <c r="G16" s="49">
        <v>638800</v>
      </c>
      <c r="H16" s="30">
        <v>46061</v>
      </c>
      <c r="I16" s="7"/>
      <c r="J16" s="8">
        <f>SUMIF('الدفعات والتحصيل'!B:B,الجدول2[[#This Row],[رقم الوحدة]],'الدفعات والتحصيل'!D:D)</f>
        <v>447160</v>
      </c>
      <c r="K16" s="16">
        <f>IFERROR(الجدول2[[#This Row],[إجمالي الدفعات المحصلة]]/الجدول2[[#This Row],[قيمة الوحدة ]],0)</f>
        <v>0.7</v>
      </c>
      <c r="L16" s="8">
        <f>'العملاء والوحدات'!$G16-'العملاء والوحدات'!$J16</f>
        <v>191640</v>
      </c>
      <c r="M16" s="15">
        <f>الجدول2[[#This Row],[قيمة الوحدة ]]/1.035</f>
        <v>617198.06763285026</v>
      </c>
      <c r="N16" s="8">
        <f>الجدول2[[#This Row],[قيمة الوحدة بدون السعي ]]*0.035</f>
        <v>21601.932367149762</v>
      </c>
      <c r="O16" s="8">
        <f>الجدول2[[#This Row],[العمولة ]]*0.15</f>
        <v>3240.2898550724644</v>
      </c>
      <c r="P16" s="8">
        <f>الجدول2[[#This Row],[ضريبة العمولة ]]+الجدول2[[#This Row],[العمولة ]]</f>
        <v>24842.222222222226</v>
      </c>
      <c r="Q16" s="8">
        <v>5750</v>
      </c>
      <c r="R16" s="8">
        <f>الجدول2[[#This Row],[مكافاة البيع ]]+الجدول2[[#This Row],[العمولة شاملة الضريبة ]]</f>
        <v>30592.222222222226</v>
      </c>
      <c r="S16" s="53">
        <f>الجدول2[[#This Row],[العمولة + مكافاة البيع]]</f>
        <v>30592.222222222226</v>
      </c>
      <c r="T16" s="8">
        <f>الجدول2[[#This Row],[العمولة + مكافاة البيع]]-الجدول2[[#This Row],[المسدد من العمولة ]]</f>
        <v>0</v>
      </c>
      <c r="U16" s="8"/>
      <c r="V16" s="31">
        <f>الجدول2[[#This Row],[قيمة الوحدة ]]*0.7-الجدول2[[#This Row],[إجمالي الدفعات المحصلة]]</f>
        <v>0</v>
      </c>
      <c r="W16" s="31">
        <f>الجدول2[[#This Row],[قيمة الوحدة ]]*0.15</f>
        <v>95820</v>
      </c>
      <c r="X16" s="31">
        <f>الجدول2[[#This Row],[قيمة الوحدة ]]*0.1</f>
        <v>63880</v>
      </c>
      <c r="Y16" s="31">
        <f>الجدول2[[#This Row],[قيمة الوحدة ]]*0.05</f>
        <v>31940</v>
      </c>
      <c r="Z16" s="8">
        <f>SUM(الجدول2[[#This Row],[تحصيل 4-2026 إيصال الى 70%]:[تحصيل 11-2026 إيصال الى 100%]])+الجدول2[[#This Row],[إجمالي الدفعات المحصلة]]</f>
        <v>638800</v>
      </c>
      <c r="AA16" s="8">
        <f>الجدول2[[#This Row],[اجمالي الوحدة المحصلة]]-الجدول2[[#This Row],[قيمة الوحدة ]]</f>
        <v>0</v>
      </c>
    </row>
    <row r="17" spans="1:27" ht="18.399999999999999" x14ac:dyDescent="0.85">
      <c r="A17" s="7">
        <v>16</v>
      </c>
      <c r="B17" s="6" t="s">
        <v>165</v>
      </c>
      <c r="C17" s="7" t="s">
        <v>28</v>
      </c>
      <c r="D17" s="8">
        <v>153.86000000000001</v>
      </c>
      <c r="E17" s="6" t="s">
        <v>32</v>
      </c>
      <c r="F17" s="6" t="s">
        <v>99</v>
      </c>
      <c r="G17" s="49">
        <v>670740</v>
      </c>
      <c r="H17" s="30">
        <v>46063</v>
      </c>
      <c r="I17" s="7"/>
      <c r="J17" s="8">
        <f>SUMIF('الدفعات والتحصيل'!B:B,الجدول2[[#This Row],[رقم الوحدة]],'الدفعات والتحصيل'!D:D)</f>
        <v>469518</v>
      </c>
      <c r="K17" s="16">
        <f>IFERROR(الجدول2[[#This Row],[إجمالي الدفعات المحصلة]]/الجدول2[[#This Row],[قيمة الوحدة ]],0)</f>
        <v>0.7</v>
      </c>
      <c r="L17" s="8">
        <f>'العملاء والوحدات'!$G17-'العملاء والوحدات'!$J17</f>
        <v>201222</v>
      </c>
      <c r="M17" s="15">
        <f>الجدول2[[#This Row],[قيمة الوحدة ]]/1.035</f>
        <v>648057.9710144928</v>
      </c>
      <c r="N17" s="8">
        <f>الجدول2[[#This Row],[قيمة الوحدة بدون السعي ]]*0.035</f>
        <v>22682.028985507251</v>
      </c>
      <c r="O17" s="8">
        <f>الجدول2[[#This Row],[العمولة ]]*0.15</f>
        <v>3402.3043478260875</v>
      </c>
      <c r="P17" s="8">
        <f>الجدول2[[#This Row],[ضريبة العمولة ]]+الجدول2[[#This Row],[العمولة ]]</f>
        <v>26084.333333333339</v>
      </c>
      <c r="Q17" s="8">
        <v>5750</v>
      </c>
      <c r="R17" s="8">
        <f>الجدول2[[#This Row],[مكافاة البيع ]]+الجدول2[[#This Row],[العمولة شاملة الضريبة ]]</f>
        <v>31834.333333333339</v>
      </c>
      <c r="S17" s="8"/>
      <c r="T17" s="8">
        <f>الجدول2[[#This Row],[العمولة + مكافاة البيع]]-الجدول2[[#This Row],[المسدد من العمولة ]]</f>
        <v>31834.333333333339</v>
      </c>
      <c r="U17" s="8"/>
      <c r="V17" s="31">
        <f>الجدول2[[#This Row],[قيمة الوحدة ]]*0.7-الجدول2[[#This Row],[إجمالي الدفعات المحصلة]]</f>
        <v>0</v>
      </c>
      <c r="W17" s="31">
        <f>الجدول2[[#This Row],[قيمة الوحدة ]]*0.15</f>
        <v>100611</v>
      </c>
      <c r="X17" s="31">
        <f>الجدول2[[#This Row],[قيمة الوحدة ]]*0.1</f>
        <v>67074</v>
      </c>
      <c r="Y17" s="31">
        <f>الجدول2[[#This Row],[قيمة الوحدة ]]*0.05</f>
        <v>33537</v>
      </c>
      <c r="Z17" s="8">
        <f>SUM(الجدول2[[#This Row],[تحصيل 4-2026 إيصال الى 70%]:[تحصيل 11-2026 إيصال الى 100%]])+الجدول2[[#This Row],[إجمالي الدفعات المحصلة]]</f>
        <v>670740</v>
      </c>
      <c r="AA17" s="8">
        <f>الجدول2[[#This Row],[اجمالي الوحدة المحصلة]]-الجدول2[[#This Row],[قيمة الوحدة ]]</f>
        <v>0</v>
      </c>
    </row>
    <row r="18" spans="1:27" ht="18.399999999999999" x14ac:dyDescent="0.85">
      <c r="A18" s="7">
        <v>17</v>
      </c>
      <c r="B18" s="6" t="s">
        <v>163</v>
      </c>
      <c r="C18" s="7" t="s">
        <v>28</v>
      </c>
      <c r="D18" s="8">
        <v>140.53</v>
      </c>
      <c r="E18" s="6" t="s">
        <v>32</v>
      </c>
      <c r="F18" s="6" t="s">
        <v>105</v>
      </c>
      <c r="G18" s="8">
        <v>546000</v>
      </c>
      <c r="H18" s="30">
        <v>46051</v>
      </c>
      <c r="I18" s="7"/>
      <c r="J18" s="8">
        <f>SUMIF('الدفعات والتحصيل'!B:B,الجدول2[[#This Row],[رقم الوحدة]],'الدفعات والتحصيل'!D:D)</f>
        <v>273000</v>
      </c>
      <c r="K18" s="16">
        <f>IFERROR(الجدول2[[#This Row],[إجمالي الدفعات المحصلة]]/الجدول2[[#This Row],[قيمة الوحدة ]],0)</f>
        <v>0.5</v>
      </c>
      <c r="L18" s="8">
        <f>'العملاء والوحدات'!$G18-'العملاء والوحدات'!$J18</f>
        <v>273000</v>
      </c>
      <c r="M18" s="8">
        <f>الجدول2[[#This Row],[قيمة الوحدة ]]/1.035</f>
        <v>527536.23188405798</v>
      </c>
      <c r="N18" s="8">
        <f>الجدول2[[#This Row],[قيمة الوحدة بدون السعي ]]*0.035</f>
        <v>18463.768115942032</v>
      </c>
      <c r="O18" s="8">
        <f>الجدول2[[#This Row],[العمولة ]]*0.15</f>
        <v>2769.5652173913045</v>
      </c>
      <c r="P18" s="8">
        <f>الجدول2[[#This Row],[ضريبة العمولة ]]+الجدول2[[#This Row],[العمولة ]]</f>
        <v>21233.333333333336</v>
      </c>
      <c r="Q18" s="8">
        <v>5750</v>
      </c>
      <c r="R18" s="8">
        <f>الجدول2[[#This Row],[مكافاة البيع ]]+الجدول2[[#This Row],[العمولة شاملة الضريبة ]]</f>
        <v>26983.333333333336</v>
      </c>
      <c r="S18" s="15">
        <f>الجدول2[[#This Row],[العمولة + مكافاة البيع]]</f>
        <v>26983.333333333336</v>
      </c>
      <c r="T18" s="8">
        <f>الجدول2[[#This Row],[العمولة + مكافاة البيع]]-الجدول2[[#This Row],[المسدد من العمولة ]]</f>
        <v>0</v>
      </c>
      <c r="U18" s="8"/>
      <c r="V18" s="31">
        <f>الجدول2[[#This Row],[قيمة الوحدة ]]*0.7-الجدول2[[#This Row],[إجمالي الدفعات المحصلة]]</f>
        <v>109200</v>
      </c>
      <c r="W18" s="31">
        <f>الجدول2[[#This Row],[قيمة الوحدة ]]*0.15</f>
        <v>81900</v>
      </c>
      <c r="X18" s="31">
        <f>الجدول2[[#This Row],[قيمة الوحدة ]]*0.1</f>
        <v>54600</v>
      </c>
      <c r="Y18" s="31">
        <f>الجدول2[[#This Row],[قيمة الوحدة ]]*0.05</f>
        <v>27300</v>
      </c>
      <c r="Z18" s="8">
        <f>SUM(الجدول2[[#This Row],[تحصيل 4-2026 إيصال الى 70%]:[تحصيل 11-2026 إيصال الى 100%]])+الجدول2[[#This Row],[إجمالي الدفعات المحصلة]]</f>
        <v>546000</v>
      </c>
      <c r="AA18" s="8">
        <f>الجدول2[[#This Row],[اجمالي الوحدة المحصلة]]-الجدول2[[#This Row],[قيمة الوحدة ]]</f>
        <v>0</v>
      </c>
    </row>
    <row r="19" spans="1:27" ht="18.399999999999999" x14ac:dyDescent="0.85">
      <c r="A19" s="7">
        <v>18</v>
      </c>
      <c r="B19" s="6" t="s">
        <v>166</v>
      </c>
      <c r="C19" s="7" t="s">
        <v>28</v>
      </c>
      <c r="D19" s="8">
        <v>118.04</v>
      </c>
      <c r="E19" s="6" t="s">
        <v>34</v>
      </c>
      <c r="F19" s="6" t="s">
        <v>103</v>
      </c>
      <c r="G19" s="8">
        <v>491400</v>
      </c>
      <c r="H19" s="30">
        <v>46049</v>
      </c>
      <c r="I19" s="7"/>
      <c r="J19" s="8">
        <f>SUMIF('الدفعات والتحصيل'!B:B,الجدول2[[#This Row],[رقم الوحدة]],'الدفعات والتحصيل'!D:D)</f>
        <v>245700</v>
      </c>
      <c r="K19" s="16">
        <f>IFERROR(الجدول2[[#This Row],[إجمالي الدفعات المحصلة]]/الجدول2[[#This Row],[قيمة الوحدة ]],0)</f>
        <v>0.5</v>
      </c>
      <c r="L19" s="8">
        <f>'العملاء والوحدات'!$G19-'العملاء والوحدات'!$J19</f>
        <v>245700</v>
      </c>
      <c r="M19" s="8">
        <f>الجدول2[[#This Row],[قيمة الوحدة ]]/1.035</f>
        <v>474782.60869565222</v>
      </c>
      <c r="N19" s="8">
        <f>الجدول2[[#This Row],[قيمة الوحدة بدون السعي ]]*0.035</f>
        <v>16617.391304347828</v>
      </c>
      <c r="O19" s="8">
        <f>الجدول2[[#This Row],[العمولة ]]*0.15</f>
        <v>2492.608695652174</v>
      </c>
      <c r="P19" s="8">
        <f>الجدول2[[#This Row],[ضريبة العمولة ]]+الجدول2[[#This Row],[العمولة ]]</f>
        <v>19110</v>
      </c>
      <c r="Q19" s="8"/>
      <c r="R19" s="8">
        <f>الجدول2[[#This Row],[مكافاة البيع ]]+الجدول2[[#This Row],[العمولة شاملة الضريبة ]]</f>
        <v>19110</v>
      </c>
      <c r="S19" s="15">
        <f>الجدول2[[#This Row],[العمولة + مكافاة البيع]]</f>
        <v>19110</v>
      </c>
      <c r="T19" s="8">
        <f>الجدول2[[#This Row],[العمولة + مكافاة البيع]]-الجدول2[[#This Row],[المسدد من العمولة ]]</f>
        <v>0</v>
      </c>
      <c r="U19" s="8"/>
      <c r="V19" s="31">
        <f>الجدول2[[#This Row],[قيمة الوحدة ]]*0.7-الجدول2[[#This Row],[إجمالي الدفعات المحصلة]]</f>
        <v>98280</v>
      </c>
      <c r="W19" s="31">
        <f>الجدول2[[#This Row],[قيمة الوحدة ]]*0.15</f>
        <v>73710</v>
      </c>
      <c r="X19" s="31">
        <f>الجدول2[[#This Row],[قيمة الوحدة ]]*0.1</f>
        <v>49140</v>
      </c>
      <c r="Y19" s="31">
        <f>الجدول2[[#This Row],[قيمة الوحدة ]]*0.05</f>
        <v>24570</v>
      </c>
      <c r="Z19" s="8">
        <f>SUM(الجدول2[[#This Row],[تحصيل 4-2026 إيصال الى 70%]:[تحصيل 11-2026 إيصال الى 100%]])+الجدول2[[#This Row],[إجمالي الدفعات المحصلة]]</f>
        <v>491400</v>
      </c>
      <c r="AA19" s="8">
        <f>الجدول2[[#This Row],[اجمالي الوحدة المحصلة]]-الجدول2[[#This Row],[قيمة الوحدة ]]</f>
        <v>0</v>
      </c>
    </row>
    <row r="20" spans="1:27" ht="18.399999999999999" hidden="1" x14ac:dyDescent="0.85">
      <c r="A20" s="7">
        <v>19</v>
      </c>
      <c r="B20" s="6" t="s">
        <v>121</v>
      </c>
      <c r="C20" s="7" t="s">
        <v>28</v>
      </c>
      <c r="D20" s="8">
        <v>115.71</v>
      </c>
      <c r="E20" s="6" t="s">
        <v>34</v>
      </c>
      <c r="F20" s="6" t="s">
        <v>102</v>
      </c>
      <c r="G20" s="8">
        <v>477750</v>
      </c>
      <c r="H20" s="30">
        <v>46040</v>
      </c>
      <c r="I20" s="7"/>
      <c r="J20" s="8">
        <v>1</v>
      </c>
      <c r="K20" s="16">
        <f>IFERROR(الجدول2[[#This Row],[إجمالي الدفعات المحصلة]]/الجدول2[[#This Row],[قيمة الوحدة ]],0)</f>
        <v>2.0931449502878075E-6</v>
      </c>
      <c r="L20" s="8">
        <f>'العملاء والوحدات'!$G20-'العملاء والوحدات'!$J20</f>
        <v>477749</v>
      </c>
      <c r="M20" s="8">
        <f>الجدول2[[#This Row],[قيمة الوحدة ]]/1.035</f>
        <v>461594.20289855078</v>
      </c>
      <c r="N20" s="8">
        <f>الجدول2[[#This Row],[قيمة الوحدة بدون السعي ]]*0.035</f>
        <v>16155.79710144928</v>
      </c>
      <c r="O20" s="8">
        <f>الجدول2[[#This Row],[العمولة ]]*0.15</f>
        <v>2423.3695652173919</v>
      </c>
      <c r="P20" s="8">
        <f>الجدول2[[#This Row],[ضريبة العمولة ]]+الجدول2[[#This Row],[العمولة ]]</f>
        <v>18579.166666666672</v>
      </c>
      <c r="Q20" s="8"/>
      <c r="R20" s="54">
        <f>الجدول2[[#This Row],[مكافاة البيع ]]+الجدول2[[#This Row],[العمولة شاملة الضريبة ]]</f>
        <v>18579.166666666672</v>
      </c>
      <c r="S20" s="8"/>
      <c r="T20" s="8">
        <f>الجدول2[[#This Row],[العمولة + مكافاة البيع]]-الجدول2[[#This Row],[المسدد من العمولة ]]</f>
        <v>18579.166666666672</v>
      </c>
      <c r="U20" s="8"/>
      <c r="V20" s="31">
        <f>الجدول2[[#This Row],[قيمة الوحدة ]]*0.7-الجدول2[[#This Row],[إجمالي الدفعات المحصلة]]</f>
        <v>334424</v>
      </c>
      <c r="W20" s="31">
        <f>الجدول2[[#This Row],[قيمة الوحدة ]]*0.15</f>
        <v>71662.5</v>
      </c>
      <c r="X20" s="31">
        <f>الجدول2[[#This Row],[قيمة الوحدة ]]*0.1</f>
        <v>47775</v>
      </c>
      <c r="Y20" s="31">
        <f>الجدول2[[#This Row],[قيمة الوحدة ]]*0.05</f>
        <v>23887.5</v>
      </c>
      <c r="Z20" s="8">
        <f>SUM(الجدول2[[#This Row],[تحصيل 4-2026 إيصال الى 70%]:[تحصيل 11-2026 إيصال الى 100%]])+الجدول2[[#This Row],[إجمالي الدفعات المحصلة]]</f>
        <v>477750</v>
      </c>
      <c r="AA20" s="8">
        <f>الجدول2[[#This Row],[اجمالي الوحدة المحصلة]]-الجدول2[[#This Row],[قيمة الوحدة ]]</f>
        <v>0</v>
      </c>
    </row>
    <row r="21" spans="1:27" ht="18.399999999999999" x14ac:dyDescent="0.85">
      <c r="A21" s="7">
        <v>20</v>
      </c>
      <c r="B21" s="6" t="s">
        <v>345</v>
      </c>
      <c r="C21" s="7" t="s">
        <v>28</v>
      </c>
      <c r="D21" s="8">
        <v>121.64</v>
      </c>
      <c r="E21" s="6" t="s">
        <v>34</v>
      </c>
      <c r="F21" s="6" t="s">
        <v>107</v>
      </c>
      <c r="G21" s="8">
        <v>486850</v>
      </c>
      <c r="H21" s="30" t="s">
        <v>107</v>
      </c>
      <c r="I21" s="7"/>
      <c r="J21" s="8">
        <f>SUMIF('الدفعات والتحصيل'!B:B,الجدول2[[#This Row],[رقم الوحدة]],'الدفعات والتحصيل'!D:D)</f>
        <v>486850</v>
      </c>
      <c r="K21" s="16">
        <f>IFERROR(الجدول2[[#This Row],[إجمالي الدفعات المحصلة]]/الجدول2[[#This Row],[قيمة الوحدة ]],0)</f>
        <v>1</v>
      </c>
      <c r="L21" s="8">
        <f>'العملاء والوحدات'!$G21-'العملاء والوحدات'!$J21</f>
        <v>0</v>
      </c>
      <c r="M21" s="8">
        <f>الجدول2[[#This Row],[قيمة الوحدة ]]/1.035</f>
        <v>470386.4734299517</v>
      </c>
      <c r="N21" s="8">
        <f>الجدول2[[#This Row],[قيمة الوحدة بدون السعي ]]*0.035</f>
        <v>16463.526570048311</v>
      </c>
      <c r="O21" s="8">
        <f>الجدول2[[#This Row],[العمولة ]]*0.15</f>
        <v>2469.5289855072465</v>
      </c>
      <c r="P21" s="8">
        <f>الجدول2[[#This Row],[ضريبة العمولة ]]+الجدول2[[#This Row],[العمولة ]]</f>
        <v>18933.055555555558</v>
      </c>
      <c r="Q21" s="8"/>
      <c r="R21" s="8">
        <f>الجدول2[[#This Row],[مكافاة البيع ]]+الجدول2[[#This Row],[العمولة شاملة الضريبة ]]</f>
        <v>18933.055555555558</v>
      </c>
      <c r="S21" s="8"/>
      <c r="T21" s="8">
        <f>الجدول2[[#This Row],[العمولة + مكافاة البيع]]-الجدول2[[#This Row],[المسدد من العمولة ]]</f>
        <v>18933.055555555558</v>
      </c>
      <c r="U21" s="8"/>
      <c r="V21" s="32">
        <v>0</v>
      </c>
      <c r="W21" s="32">
        <v>0</v>
      </c>
      <c r="X21" s="32">
        <v>0</v>
      </c>
      <c r="Y21" s="32">
        <v>0</v>
      </c>
      <c r="Z21" s="8">
        <f>SUM(الجدول2[[#This Row],[تحصيل 4-2026 إيصال الى 70%]:[تحصيل 11-2026 إيصال الى 100%]])+الجدول2[[#This Row],[إجمالي الدفعات المحصلة]]</f>
        <v>486850</v>
      </c>
      <c r="AA21" s="8">
        <f>الجدول2[[#This Row],[اجمالي الوحدة المحصلة]]-الجدول2[[#This Row],[قيمة الوحدة ]]</f>
        <v>0</v>
      </c>
    </row>
    <row r="22" spans="1:27" ht="18.399999999999999" x14ac:dyDescent="0.85">
      <c r="A22" s="7">
        <v>21</v>
      </c>
      <c r="B22" s="6" t="s">
        <v>160</v>
      </c>
      <c r="C22" s="7" t="s">
        <v>28</v>
      </c>
      <c r="D22" s="8">
        <v>137.28</v>
      </c>
      <c r="E22" s="6" t="s">
        <v>32</v>
      </c>
      <c r="F22" s="6" t="s">
        <v>103</v>
      </c>
      <c r="G22" s="49">
        <v>521000</v>
      </c>
      <c r="H22" s="30">
        <v>46047</v>
      </c>
      <c r="I22" s="7"/>
      <c r="J22" s="8">
        <f>SUMIF('الدفعات والتحصيل'!B:B,الجدول2[[#This Row],[رقم الوحدة]],'الدفعات والتحصيل'!D:D)</f>
        <v>260500</v>
      </c>
      <c r="K22" s="16">
        <f>IFERROR(الجدول2[[#This Row],[إجمالي الدفعات المحصلة]]/الجدول2[[#This Row],[قيمة الوحدة ]],0)</f>
        <v>0.5</v>
      </c>
      <c r="L22" s="8">
        <f>'العملاء والوحدات'!$G22-'العملاء والوحدات'!$J22</f>
        <v>260500</v>
      </c>
      <c r="M22" s="15">
        <f>الجدول2[[#This Row],[قيمة الوحدة ]]/1.035</f>
        <v>503381.64251207735</v>
      </c>
      <c r="N22" s="8">
        <f>الجدول2[[#This Row],[قيمة الوحدة بدون السعي ]]*0.035</f>
        <v>17618.357487922709</v>
      </c>
      <c r="O22" s="8">
        <f>الجدول2[[#This Row],[العمولة ]]*0.15</f>
        <v>2642.7536231884064</v>
      </c>
      <c r="P22" s="8">
        <f>الجدول2[[#This Row],[ضريبة العمولة ]]+الجدول2[[#This Row],[العمولة ]]</f>
        <v>20261.111111111117</v>
      </c>
      <c r="Q22" s="8">
        <v>5750</v>
      </c>
      <c r="R22" s="8">
        <f>الجدول2[[#This Row],[مكافاة البيع ]]+الجدول2[[#This Row],[العمولة شاملة الضريبة ]]</f>
        <v>26011.111111111117</v>
      </c>
      <c r="S22" s="8"/>
      <c r="T22" s="8">
        <f>الجدول2[[#This Row],[العمولة + مكافاة البيع]]-الجدول2[[#This Row],[المسدد من العمولة ]]</f>
        <v>26011.111111111117</v>
      </c>
      <c r="U22" s="8"/>
      <c r="V22" s="31">
        <f>الجدول2[[#This Row],[قيمة الوحدة ]]*0.7-الجدول2[[#This Row],[إجمالي الدفعات المحصلة]]</f>
        <v>104200</v>
      </c>
      <c r="W22" s="31">
        <f>الجدول2[[#This Row],[قيمة الوحدة ]]*0.15</f>
        <v>78150</v>
      </c>
      <c r="X22" s="31">
        <f>الجدول2[[#This Row],[قيمة الوحدة ]]*0.1</f>
        <v>52100</v>
      </c>
      <c r="Y22" s="31">
        <f>الجدول2[[#This Row],[قيمة الوحدة ]]*0.05</f>
        <v>26050</v>
      </c>
      <c r="Z22" s="8">
        <f>SUM(الجدول2[[#This Row],[تحصيل 4-2026 إيصال الى 70%]:[تحصيل 11-2026 إيصال الى 100%]])+الجدول2[[#This Row],[إجمالي الدفعات المحصلة]]</f>
        <v>521000</v>
      </c>
      <c r="AA22" s="8">
        <f>الجدول2[[#This Row],[اجمالي الوحدة المحصلة]]-الجدول2[[#This Row],[قيمة الوحدة ]]</f>
        <v>0</v>
      </c>
    </row>
    <row r="23" spans="1:27" ht="18.399999999999999" hidden="1" x14ac:dyDescent="0.85">
      <c r="A23" s="7">
        <v>22</v>
      </c>
      <c r="B23" s="6" t="s">
        <v>127</v>
      </c>
      <c r="C23" s="7" t="s">
        <v>28</v>
      </c>
      <c r="D23" s="8">
        <v>116.05</v>
      </c>
      <c r="E23" s="6" t="s">
        <v>34</v>
      </c>
      <c r="F23" s="6" t="s">
        <v>101</v>
      </c>
      <c r="G23" s="8">
        <v>482300</v>
      </c>
      <c r="H23" s="30">
        <v>46033</v>
      </c>
      <c r="I23" s="7"/>
      <c r="J23" s="8">
        <v>1</v>
      </c>
      <c r="K23" s="16">
        <f>IFERROR(الجدول2[[#This Row],[إجمالي الدفعات المحصلة]]/الجدول2[[#This Row],[قيمة الوحدة ]],0)</f>
        <v>2.0733982998133941E-6</v>
      </c>
      <c r="L23" s="8">
        <f>'العملاء والوحدات'!$G23-'العملاء والوحدات'!$J23</f>
        <v>482299</v>
      </c>
      <c r="M23" s="8">
        <f>الجدول2[[#This Row],[قيمة الوحدة ]]/1.035</f>
        <v>465990.33816425124</v>
      </c>
      <c r="N23" s="8">
        <f>الجدول2[[#This Row],[قيمة الوحدة بدون السعي ]]*0.035</f>
        <v>16309.661835748795</v>
      </c>
      <c r="O23" s="8">
        <f>الجدول2[[#This Row],[العمولة ]]*0.15</f>
        <v>2446.449275362319</v>
      </c>
      <c r="P23" s="8">
        <f>الجدول2[[#This Row],[ضريبة العمولة ]]+الجدول2[[#This Row],[العمولة ]]</f>
        <v>18756.111111111113</v>
      </c>
      <c r="Q23" s="8"/>
      <c r="R23" s="8">
        <f>الجدول2[[#This Row],[مكافاة البيع ]]+الجدول2[[#This Row],[العمولة شاملة الضريبة ]]</f>
        <v>18756.111111111113</v>
      </c>
      <c r="S23" s="8"/>
      <c r="T23" s="8">
        <f>الجدول2[[#This Row],[العمولة + مكافاة البيع]]-الجدول2[[#This Row],[المسدد من العمولة ]]</f>
        <v>18756.111111111113</v>
      </c>
      <c r="U23" s="8"/>
      <c r="V23" s="31">
        <f>الجدول2[[#This Row],[قيمة الوحدة ]]*0.7-الجدول2[[#This Row],[إجمالي الدفعات المحصلة]]</f>
        <v>337609</v>
      </c>
      <c r="W23" s="31">
        <f>الجدول2[[#This Row],[قيمة الوحدة ]]*0.15</f>
        <v>72345</v>
      </c>
      <c r="X23" s="31">
        <f>الجدول2[[#This Row],[قيمة الوحدة ]]*0.1</f>
        <v>48230</v>
      </c>
      <c r="Y23" s="31">
        <f>الجدول2[[#This Row],[قيمة الوحدة ]]*0.05</f>
        <v>24115</v>
      </c>
      <c r="Z23" s="8">
        <f>SUM(الجدول2[[#This Row],[تحصيل 4-2026 إيصال الى 70%]:[تحصيل 11-2026 إيصال الى 100%]])+الجدول2[[#This Row],[إجمالي الدفعات المحصلة]]</f>
        <v>482300</v>
      </c>
      <c r="AA23" s="8">
        <f>الجدول2[[#This Row],[اجمالي الوحدة المحصلة]]-الجدول2[[#This Row],[قيمة الوحدة ]]</f>
        <v>0</v>
      </c>
    </row>
    <row r="24" spans="1:27" ht="18.399999999999999" x14ac:dyDescent="0.85">
      <c r="A24" s="7">
        <v>23</v>
      </c>
      <c r="B24" s="6" t="s">
        <v>126</v>
      </c>
      <c r="C24" s="7" t="s">
        <v>28</v>
      </c>
      <c r="D24" s="8">
        <v>134.96</v>
      </c>
      <c r="E24" s="6" t="s">
        <v>32</v>
      </c>
      <c r="F24" s="6" t="s">
        <v>107</v>
      </c>
      <c r="G24" s="8">
        <v>546000</v>
      </c>
      <c r="H24" s="30">
        <v>46046</v>
      </c>
      <c r="I24" s="7"/>
      <c r="J24" s="8">
        <f>SUMIF('الدفعات والتحصيل'!B:B,الجدول2[[#This Row],[رقم الوحدة]],'الدفعات والتحصيل'!D:D)</f>
        <v>273000</v>
      </c>
      <c r="K24" s="16">
        <f>IFERROR(الجدول2[[#This Row],[إجمالي الدفعات المحصلة]]/الجدول2[[#This Row],[قيمة الوحدة ]],0)</f>
        <v>0.5</v>
      </c>
      <c r="L24" s="8">
        <f>'العملاء والوحدات'!$G24-'العملاء والوحدات'!$J24</f>
        <v>273000</v>
      </c>
      <c r="M24" s="8">
        <f>الجدول2[[#This Row],[قيمة الوحدة ]]/1.035</f>
        <v>527536.23188405798</v>
      </c>
      <c r="N24" s="8">
        <f>الجدول2[[#This Row],[قيمة الوحدة بدون السعي ]]*0.035</f>
        <v>18463.768115942032</v>
      </c>
      <c r="O24" s="8">
        <f>الجدول2[[#This Row],[العمولة ]]*0.15</f>
        <v>2769.5652173913045</v>
      </c>
      <c r="P24" s="8">
        <f>الجدول2[[#This Row],[ضريبة العمولة ]]+الجدول2[[#This Row],[العمولة ]]</f>
        <v>21233.333333333336</v>
      </c>
      <c r="Q24" s="8"/>
      <c r="R24" s="8">
        <f>الجدول2[[#This Row],[مكافاة البيع ]]+الجدول2[[#This Row],[العمولة شاملة الضريبة ]]</f>
        <v>21233.333333333336</v>
      </c>
      <c r="S24" s="8"/>
      <c r="T24" s="8">
        <f>الجدول2[[#This Row],[العمولة + مكافاة البيع]]-الجدول2[[#This Row],[المسدد من العمولة ]]</f>
        <v>21233.333333333336</v>
      </c>
      <c r="U24" s="8"/>
      <c r="V24" s="31">
        <f>الجدول2[[#This Row],[قيمة الوحدة ]]*0.7-الجدول2[[#This Row],[إجمالي الدفعات المحصلة]]</f>
        <v>109200</v>
      </c>
      <c r="W24" s="31">
        <f>الجدول2[[#This Row],[قيمة الوحدة ]]*0.15</f>
        <v>81900</v>
      </c>
      <c r="X24" s="31">
        <f>الجدول2[[#This Row],[قيمة الوحدة ]]*0.1</f>
        <v>54600</v>
      </c>
      <c r="Y24" s="31">
        <f>الجدول2[[#This Row],[قيمة الوحدة ]]*0.05</f>
        <v>27300</v>
      </c>
      <c r="Z24" s="8">
        <f>SUM(الجدول2[[#This Row],[تحصيل 4-2026 إيصال الى 70%]:[تحصيل 11-2026 إيصال الى 100%]])+الجدول2[[#This Row],[إجمالي الدفعات المحصلة]]</f>
        <v>546000</v>
      </c>
      <c r="AA24" s="8">
        <f>الجدول2[[#This Row],[اجمالي الوحدة المحصلة]]-الجدول2[[#This Row],[قيمة الوحدة ]]</f>
        <v>0</v>
      </c>
    </row>
    <row r="25" spans="1:27" ht="18.399999999999999" x14ac:dyDescent="0.85">
      <c r="A25" s="7">
        <v>24</v>
      </c>
      <c r="B25" s="6" t="s">
        <v>125</v>
      </c>
      <c r="C25" s="7" t="s">
        <v>28</v>
      </c>
      <c r="D25" s="8">
        <v>137.75</v>
      </c>
      <c r="E25" s="6" t="s">
        <v>32</v>
      </c>
      <c r="F25" s="6" t="s">
        <v>107</v>
      </c>
      <c r="G25" s="8">
        <v>559650</v>
      </c>
      <c r="H25" s="30">
        <v>46046</v>
      </c>
      <c r="I25" s="7"/>
      <c r="J25" s="8">
        <f>SUMIF('الدفعات والتحصيل'!B:B,الجدول2[[#This Row],[رقم الوحدة]],'الدفعات والتحصيل'!D:D)</f>
        <v>279825</v>
      </c>
      <c r="K25" s="16">
        <f>IFERROR(الجدول2[[#This Row],[إجمالي الدفعات المحصلة]]/الجدول2[[#This Row],[قيمة الوحدة ]],0)</f>
        <v>0.5</v>
      </c>
      <c r="L25" s="8">
        <f>'العملاء والوحدات'!$G25-'العملاء والوحدات'!$J25</f>
        <v>279825</v>
      </c>
      <c r="M25" s="8">
        <f>الجدول2[[#This Row],[قيمة الوحدة ]]/1.035</f>
        <v>540724.63768115942</v>
      </c>
      <c r="N25" s="8">
        <f>الجدول2[[#This Row],[قيمة الوحدة بدون السعي ]]*0.035</f>
        <v>18925.36231884058</v>
      </c>
      <c r="O25" s="8">
        <f>الجدول2[[#This Row],[العمولة ]]*0.15</f>
        <v>2838.804347826087</v>
      </c>
      <c r="P25" s="8">
        <f>الجدول2[[#This Row],[ضريبة العمولة ]]+الجدول2[[#This Row],[العمولة ]]</f>
        <v>21764.166666666668</v>
      </c>
      <c r="Q25" s="8"/>
      <c r="R25" s="8">
        <f>الجدول2[[#This Row],[مكافاة البيع ]]+الجدول2[[#This Row],[العمولة شاملة الضريبة ]]</f>
        <v>21764.166666666668</v>
      </c>
      <c r="S25" s="8"/>
      <c r="T25" s="8">
        <f>الجدول2[[#This Row],[العمولة + مكافاة البيع]]-الجدول2[[#This Row],[المسدد من العمولة ]]</f>
        <v>21764.166666666668</v>
      </c>
      <c r="U25" s="8"/>
      <c r="V25" s="31">
        <f>الجدول2[[#This Row],[قيمة الوحدة ]]*0.7-الجدول2[[#This Row],[إجمالي الدفعات المحصلة]]</f>
        <v>111930</v>
      </c>
      <c r="W25" s="31">
        <f>الجدول2[[#This Row],[قيمة الوحدة ]]*0.15</f>
        <v>83947.5</v>
      </c>
      <c r="X25" s="31">
        <f>الجدول2[[#This Row],[قيمة الوحدة ]]*0.1</f>
        <v>55965</v>
      </c>
      <c r="Y25" s="31">
        <f>الجدول2[[#This Row],[قيمة الوحدة ]]*0.05</f>
        <v>27982.5</v>
      </c>
      <c r="Z25" s="8">
        <f>SUM(الجدول2[[#This Row],[تحصيل 4-2026 إيصال الى 70%]:[تحصيل 11-2026 إيصال الى 100%]])+الجدول2[[#This Row],[إجمالي الدفعات المحصلة]]</f>
        <v>559650</v>
      </c>
      <c r="AA25" s="8">
        <f>الجدول2[[#This Row],[اجمالي الوحدة المحصلة]]-الجدول2[[#This Row],[قيمة الوحدة ]]</f>
        <v>0</v>
      </c>
    </row>
    <row r="26" spans="1:27" ht="18.399999999999999" x14ac:dyDescent="0.85">
      <c r="A26" s="7">
        <v>25</v>
      </c>
      <c r="B26" s="6" t="s">
        <v>167</v>
      </c>
      <c r="C26" s="7" t="s">
        <v>29</v>
      </c>
      <c r="D26" s="8">
        <v>120.01</v>
      </c>
      <c r="E26" s="6" t="s">
        <v>34</v>
      </c>
      <c r="F26" s="6" t="s">
        <v>103</v>
      </c>
      <c r="G26" s="8">
        <v>559650</v>
      </c>
      <c r="H26" s="30">
        <v>46048</v>
      </c>
      <c r="I26" s="7"/>
      <c r="J26" s="8">
        <f>SUMIF('الدفعات والتحصيل'!B:B,الجدول2[[#This Row],[رقم الوحدة]],'الدفعات والتحصيل'!D:D)</f>
        <v>391755</v>
      </c>
      <c r="K26" s="16">
        <f>IFERROR(الجدول2[[#This Row],[إجمالي الدفعات المحصلة]]/الجدول2[[#This Row],[قيمة الوحدة ]],0)</f>
        <v>0.7</v>
      </c>
      <c r="L26" s="8">
        <f>'العملاء والوحدات'!$G26-'العملاء والوحدات'!$J26</f>
        <v>167895</v>
      </c>
      <c r="M26" s="8">
        <f>الجدول2[[#This Row],[قيمة الوحدة ]]/1.035</f>
        <v>540724.63768115942</v>
      </c>
      <c r="N26" s="8">
        <f>الجدول2[[#This Row],[قيمة الوحدة بدون السعي ]]*0.035</f>
        <v>18925.36231884058</v>
      </c>
      <c r="O26" s="8">
        <f>الجدول2[[#This Row],[العمولة ]]*0.15</f>
        <v>2838.804347826087</v>
      </c>
      <c r="P26" s="8">
        <f>الجدول2[[#This Row],[ضريبة العمولة ]]+الجدول2[[#This Row],[العمولة ]]</f>
        <v>21764.166666666668</v>
      </c>
      <c r="Q26" s="8"/>
      <c r="R26" s="8">
        <f>الجدول2[[#This Row],[مكافاة البيع ]]+الجدول2[[#This Row],[العمولة شاملة الضريبة ]]</f>
        <v>21764.166666666668</v>
      </c>
      <c r="S26" s="15">
        <f>الجدول2[[#This Row],[العمولة + مكافاة البيع]]</f>
        <v>21764.166666666668</v>
      </c>
      <c r="T26" s="8">
        <f>الجدول2[[#This Row],[العمولة + مكافاة البيع]]-الجدول2[[#This Row],[المسدد من العمولة ]]</f>
        <v>0</v>
      </c>
      <c r="U26" s="8"/>
      <c r="V26" s="31">
        <f>الجدول2[[#This Row],[قيمة الوحدة ]]*0.7-الجدول2[[#This Row],[إجمالي الدفعات المحصلة]]</f>
        <v>0</v>
      </c>
      <c r="W26" s="31">
        <f>الجدول2[[#This Row],[قيمة الوحدة ]]*0.15</f>
        <v>83947.5</v>
      </c>
      <c r="X26" s="31">
        <f>الجدول2[[#This Row],[قيمة الوحدة ]]*0.1</f>
        <v>55965</v>
      </c>
      <c r="Y26" s="31">
        <f>الجدول2[[#This Row],[قيمة الوحدة ]]*0.05</f>
        <v>27982.5</v>
      </c>
      <c r="Z26" s="8">
        <f>SUM(الجدول2[[#This Row],[تحصيل 4-2026 إيصال الى 70%]:[تحصيل 11-2026 إيصال الى 100%]])+الجدول2[[#This Row],[إجمالي الدفعات المحصلة]]</f>
        <v>559650</v>
      </c>
      <c r="AA26" s="8">
        <f>الجدول2[[#This Row],[اجمالي الوحدة المحصلة]]-الجدول2[[#This Row],[قيمة الوحدة ]]</f>
        <v>0</v>
      </c>
    </row>
    <row r="27" spans="1:27" ht="18.399999999999999" x14ac:dyDescent="0.85">
      <c r="A27" s="7">
        <v>26</v>
      </c>
      <c r="B27" s="6" t="s">
        <v>168</v>
      </c>
      <c r="C27" s="7" t="s">
        <v>29</v>
      </c>
      <c r="D27" s="8">
        <v>167</v>
      </c>
      <c r="E27" s="6" t="s">
        <v>33</v>
      </c>
      <c r="F27" s="6" t="s">
        <v>108</v>
      </c>
      <c r="G27" s="8">
        <v>703000</v>
      </c>
      <c r="H27" s="30">
        <v>46050</v>
      </c>
      <c r="I27" s="7"/>
      <c r="J27" s="8">
        <f>SUMIF('الدفعات والتحصيل'!B:B,الجدول2[[#This Row],[رقم الوحدة]],'الدفعات والتحصيل'!D:D)</f>
        <v>140600</v>
      </c>
      <c r="K27" s="16">
        <f>IFERROR(الجدول2[[#This Row],[إجمالي الدفعات المحصلة]]/الجدول2[[#This Row],[قيمة الوحدة ]],0)</f>
        <v>0.2</v>
      </c>
      <c r="L27" s="8">
        <f>'العملاء والوحدات'!$G27-'العملاء والوحدات'!$J27</f>
        <v>562400</v>
      </c>
      <c r="M27" s="8">
        <f>الجدول2[[#This Row],[قيمة الوحدة ]]/1.035</f>
        <v>679227.05314009672</v>
      </c>
      <c r="N27" s="8">
        <f>الجدول2[[#This Row],[قيمة الوحدة بدون السعي ]]*0.035</f>
        <v>23772.946859903386</v>
      </c>
      <c r="O27" s="8">
        <f>الجدول2[[#This Row],[العمولة ]]*0.15</f>
        <v>3565.9420289855079</v>
      </c>
      <c r="P27" s="8">
        <f>الجدول2[[#This Row],[ضريبة العمولة ]]+الجدول2[[#This Row],[العمولة ]]</f>
        <v>27338.888888888894</v>
      </c>
      <c r="Q27" s="8">
        <v>0</v>
      </c>
      <c r="R27" s="8">
        <f>الجدول2[[#This Row],[مكافاة البيع ]]+الجدول2[[#This Row],[العمولة شاملة الضريبة ]]</f>
        <v>27338.888888888894</v>
      </c>
      <c r="S27" s="8">
        <f>الجدول2[[#This Row],[العمولة + مكافاة البيع]]</f>
        <v>27338.888888888894</v>
      </c>
      <c r="T27" s="8">
        <f>الجدول2[[#This Row],[العمولة + مكافاة البيع]]-الجدول2[[#This Row],[المسدد من العمولة ]]</f>
        <v>0</v>
      </c>
      <c r="U27" s="8"/>
      <c r="V27" s="31">
        <f>الجدول2[[#This Row],[قيمة الوحدة ]]*0.7-الجدول2[[#This Row],[إجمالي الدفعات المحصلة]]</f>
        <v>351499.99999999994</v>
      </c>
      <c r="W27" s="31">
        <f>الجدول2[[#This Row],[قيمة الوحدة ]]*0.15</f>
        <v>105450</v>
      </c>
      <c r="X27" s="31">
        <f>الجدول2[[#This Row],[قيمة الوحدة ]]*0.1</f>
        <v>70300</v>
      </c>
      <c r="Y27" s="31">
        <f>الجدول2[[#This Row],[قيمة الوحدة ]]*0.05</f>
        <v>35150</v>
      </c>
      <c r="Z27" s="8">
        <f>SUM(الجدول2[[#This Row],[تحصيل 4-2026 إيصال الى 70%]:[تحصيل 11-2026 إيصال الى 100%]])+الجدول2[[#This Row],[إجمالي الدفعات المحصلة]]</f>
        <v>703000</v>
      </c>
      <c r="AA27" s="8">
        <f>الجدول2[[#This Row],[اجمالي الوحدة المحصلة]]-الجدول2[[#This Row],[قيمة الوحدة ]]</f>
        <v>0</v>
      </c>
    </row>
    <row r="28" spans="1:27" ht="18.399999999999999" hidden="1" x14ac:dyDescent="0.85">
      <c r="A28" s="7">
        <v>27</v>
      </c>
      <c r="B28" s="6" t="s">
        <v>122</v>
      </c>
      <c r="C28" s="7" t="s">
        <v>29</v>
      </c>
      <c r="D28" s="8">
        <v>115.83</v>
      </c>
      <c r="E28" s="6" t="s">
        <v>34</v>
      </c>
      <c r="F28" s="6" t="s">
        <v>99</v>
      </c>
      <c r="G28" s="8">
        <v>522638</v>
      </c>
      <c r="H28" s="30">
        <v>46077</v>
      </c>
      <c r="I28" s="7"/>
      <c r="J28" s="8">
        <v>1</v>
      </c>
      <c r="K28" s="16">
        <f>IFERROR(الجدول2[[#This Row],[إجمالي الدفعات المحصلة]]/الجدول2[[#This Row],[قيمة الوحدة ]],0)</f>
        <v>1.9133702486233301E-6</v>
      </c>
      <c r="L28" s="8">
        <f>'العملاء والوحدات'!$G28-'العملاء والوحدات'!$J28</f>
        <v>522637</v>
      </c>
      <c r="M28" s="8">
        <f>الجدول2[[#This Row],[قيمة الوحدة ]]/1.035</f>
        <v>504964.25120772951</v>
      </c>
      <c r="N28" s="8">
        <f>الجدول2[[#This Row],[قيمة الوحدة بدون السعي ]]*0.035</f>
        <v>17673.748792270533</v>
      </c>
      <c r="O28" s="8">
        <f>الجدول2[[#This Row],[العمولة ]]*0.15</f>
        <v>2651.0623188405798</v>
      </c>
      <c r="P28" s="8">
        <f>الجدول2[[#This Row],[ضريبة العمولة ]]+الجدول2[[#This Row],[العمولة ]]</f>
        <v>20324.811111111114</v>
      </c>
      <c r="Q28" s="8"/>
      <c r="R28" s="8">
        <f>الجدول2[[#This Row],[مكافاة البيع ]]+الجدول2[[#This Row],[العمولة شاملة الضريبة ]]</f>
        <v>20324.811111111114</v>
      </c>
      <c r="S28" s="8"/>
      <c r="T28" s="8">
        <f>الجدول2[[#This Row],[العمولة + مكافاة البيع]]-الجدول2[[#This Row],[المسدد من العمولة ]]</f>
        <v>20324.811111111114</v>
      </c>
      <c r="U28" s="8"/>
      <c r="V28" s="31">
        <f>الجدول2[[#This Row],[قيمة الوحدة ]]*0.7-الجدول2[[#This Row],[إجمالي الدفعات المحصلة]]</f>
        <v>365845.6</v>
      </c>
      <c r="W28" s="31">
        <f>الجدول2[[#This Row],[قيمة الوحدة ]]*0.15</f>
        <v>78395.7</v>
      </c>
      <c r="X28" s="31">
        <f>الجدول2[[#This Row],[قيمة الوحدة ]]*0.1</f>
        <v>52263.8</v>
      </c>
      <c r="Y28" s="31">
        <f>الجدول2[[#This Row],[قيمة الوحدة ]]*0.05</f>
        <v>26131.9</v>
      </c>
      <c r="Z28" s="8">
        <f>SUM(الجدول2[[#This Row],[تحصيل 4-2026 إيصال الى 70%]:[تحصيل 11-2026 إيصال الى 100%]])+الجدول2[[#This Row],[إجمالي الدفعات المحصلة]]</f>
        <v>522638</v>
      </c>
      <c r="AA28" s="8">
        <f>الجدول2[[#This Row],[اجمالي الوحدة المحصلة]]-الجدول2[[#This Row],[قيمة الوحدة ]]</f>
        <v>0</v>
      </c>
    </row>
    <row r="29" spans="1:27" ht="18.399999999999999" x14ac:dyDescent="0.85">
      <c r="A29" s="7">
        <v>28</v>
      </c>
      <c r="B29" s="6" t="s">
        <v>169</v>
      </c>
      <c r="C29" s="7" t="s">
        <v>29</v>
      </c>
      <c r="D29" s="8">
        <v>117.83</v>
      </c>
      <c r="E29" s="6" t="s">
        <v>34</v>
      </c>
      <c r="F29" s="6" t="s">
        <v>103</v>
      </c>
      <c r="G29" s="8">
        <v>471400</v>
      </c>
      <c r="H29" s="30">
        <v>46050</v>
      </c>
      <c r="I29" s="7"/>
      <c r="J29" s="8">
        <f>SUMIF('الدفعات والتحصيل'!B:B,الجدول2[[#This Row],[رقم الوحدة]],'الدفعات والتحصيل'!D:D)</f>
        <v>471400</v>
      </c>
      <c r="K29" s="16">
        <f>IFERROR(الجدول2[[#This Row],[إجمالي الدفعات المحصلة]]/الجدول2[[#This Row],[قيمة الوحدة ]],0)</f>
        <v>1</v>
      </c>
      <c r="L29" s="8">
        <f>'العملاء والوحدات'!$G29-'العملاء والوحدات'!$J29</f>
        <v>0</v>
      </c>
      <c r="M29" s="8">
        <f>الجدول2[[#This Row],[قيمة الوحدة ]]/1.035</f>
        <v>455458.93719806767</v>
      </c>
      <c r="N29" s="8">
        <f>الجدول2[[#This Row],[قيمة الوحدة بدون السعي ]]*0.035</f>
        <v>15941.06280193237</v>
      </c>
      <c r="O29" s="8">
        <f>الجدول2[[#This Row],[العمولة ]]*0.15</f>
        <v>2391.1594202898555</v>
      </c>
      <c r="P29" s="8">
        <f>الجدول2[[#This Row],[ضريبة العمولة ]]+الجدول2[[#This Row],[العمولة ]]</f>
        <v>18332.222222222226</v>
      </c>
      <c r="Q29" s="8"/>
      <c r="R29" s="8">
        <f>الجدول2[[#This Row],[مكافاة البيع ]]+الجدول2[[#This Row],[العمولة شاملة الضريبة ]]</f>
        <v>18332.222222222226</v>
      </c>
      <c r="S29" s="15">
        <f>الجدول2[[#This Row],[العمولة + مكافاة البيع]]</f>
        <v>18332.222222222226</v>
      </c>
      <c r="T29" s="8">
        <f>الجدول2[[#This Row],[العمولة + مكافاة البيع]]-الجدول2[[#This Row],[المسدد من العمولة ]]</f>
        <v>0</v>
      </c>
      <c r="U29" s="8"/>
      <c r="V29" s="31">
        <v>0</v>
      </c>
      <c r="W29" s="31">
        <v>0</v>
      </c>
      <c r="X29" s="31">
        <v>0</v>
      </c>
      <c r="Y29" s="31">
        <v>0</v>
      </c>
      <c r="Z29" s="8">
        <v>0</v>
      </c>
      <c r="AA29" s="8">
        <v>0</v>
      </c>
    </row>
    <row r="30" spans="1:27" ht="18.399999999999999" hidden="1" x14ac:dyDescent="0.85">
      <c r="A30" s="7">
        <v>29</v>
      </c>
      <c r="B30" s="6" t="s">
        <v>54</v>
      </c>
      <c r="C30" s="7" t="s">
        <v>29</v>
      </c>
      <c r="D30" s="8">
        <v>140.69999999999999</v>
      </c>
      <c r="E30" s="6" t="s">
        <v>32</v>
      </c>
      <c r="F30" s="6" t="s">
        <v>109</v>
      </c>
      <c r="G30" s="8">
        <v>579650</v>
      </c>
      <c r="H30" s="30">
        <v>46054</v>
      </c>
      <c r="I30" s="7"/>
      <c r="J30" s="8">
        <v>1</v>
      </c>
      <c r="K30" s="16">
        <f>IFERROR(الجدول2[[#This Row],[إجمالي الدفعات المحصلة]]/الجدول2[[#This Row],[قيمة الوحدة ]],0)</f>
        <v>1.7251789873199344E-6</v>
      </c>
      <c r="L30" s="8">
        <f>'العملاء والوحدات'!$G30-'العملاء والوحدات'!$J30</f>
        <v>579649</v>
      </c>
      <c r="M30" s="8">
        <f>الجدول2[[#This Row],[قيمة الوحدة ]]/1.035</f>
        <v>560048.30917874398</v>
      </c>
      <c r="N30" s="8">
        <f>الجدول2[[#This Row],[قيمة الوحدة بدون السعي ]]*0.035</f>
        <v>19601.690821256041</v>
      </c>
      <c r="O30" s="8">
        <f>الجدول2[[#This Row],[العمولة ]]*0.15</f>
        <v>2940.253623188406</v>
      </c>
      <c r="P30" s="8">
        <f>الجدول2[[#This Row],[ضريبة العمولة ]]+الجدول2[[#This Row],[العمولة ]]</f>
        <v>22541.944444444445</v>
      </c>
      <c r="Q30" s="8"/>
      <c r="R30" s="54">
        <f>الجدول2[[#This Row],[مكافاة البيع ]]+الجدول2[[#This Row],[العمولة شاملة الضريبة ]]</f>
        <v>22541.944444444445</v>
      </c>
      <c r="S30" s="8"/>
      <c r="T30" s="8">
        <f>الجدول2[[#This Row],[العمولة + مكافاة البيع]]-الجدول2[[#This Row],[المسدد من العمولة ]]</f>
        <v>22541.944444444445</v>
      </c>
      <c r="U30" s="8"/>
      <c r="V30" s="31">
        <f>الجدول2[[#This Row],[قيمة الوحدة ]]*0.7-الجدول2[[#This Row],[إجمالي الدفعات المحصلة]]</f>
        <v>405754</v>
      </c>
      <c r="W30" s="31">
        <f>الجدول2[[#This Row],[قيمة الوحدة ]]*0.15</f>
        <v>86947.5</v>
      </c>
      <c r="X30" s="31">
        <f>الجدول2[[#This Row],[قيمة الوحدة ]]*0.1</f>
        <v>57965</v>
      </c>
      <c r="Y30" s="31">
        <f>الجدول2[[#This Row],[قيمة الوحدة ]]*0.05</f>
        <v>28982.5</v>
      </c>
      <c r="Z30" s="8">
        <f>SUM(الجدول2[[#This Row],[تحصيل 4-2026 إيصال الى 70%]:[تحصيل 11-2026 إيصال الى 100%]])+الجدول2[[#This Row],[إجمالي الدفعات المحصلة]]</f>
        <v>579650</v>
      </c>
      <c r="AA30" s="8">
        <f>الجدول2[[#This Row],[اجمالي الوحدة المحصلة]]-الجدول2[[#This Row],[قيمة الوحدة ]]</f>
        <v>0</v>
      </c>
    </row>
    <row r="31" spans="1:27" ht="18.399999999999999" x14ac:dyDescent="0.85">
      <c r="A31" s="7">
        <v>30</v>
      </c>
      <c r="B31" s="6" t="s">
        <v>170</v>
      </c>
      <c r="C31" s="7" t="s">
        <v>29</v>
      </c>
      <c r="D31" s="8">
        <v>153.99</v>
      </c>
      <c r="E31" s="6" t="s">
        <v>32</v>
      </c>
      <c r="F31" s="6" t="s">
        <v>103</v>
      </c>
      <c r="G31" s="8">
        <v>589700</v>
      </c>
      <c r="H31" s="30">
        <v>46048</v>
      </c>
      <c r="I31" s="7"/>
      <c r="J31" s="8">
        <f>SUMIF('الدفعات والتحصيل'!B:B,الجدول2[[#This Row],[رقم الوحدة]],'الدفعات والتحصيل'!D:D)</f>
        <v>412790</v>
      </c>
      <c r="K31" s="16">
        <f>IFERROR(الجدول2[[#This Row],[إجمالي الدفعات المحصلة]]/الجدول2[[#This Row],[قيمة الوحدة ]],0)</f>
        <v>0.7</v>
      </c>
      <c r="L31" s="8">
        <f>'العملاء والوحدات'!$G31-'العملاء والوحدات'!$J31</f>
        <v>176910</v>
      </c>
      <c r="M31" s="8">
        <f>الجدول2[[#This Row],[قيمة الوحدة ]]/1.035</f>
        <v>569758.45410628023</v>
      </c>
      <c r="N31" s="8">
        <f>الجدول2[[#This Row],[قيمة الوحدة بدون السعي ]]*0.035</f>
        <v>19941.545893719809</v>
      </c>
      <c r="O31" s="8">
        <f>الجدول2[[#This Row],[العمولة ]]*0.15</f>
        <v>2991.2318840579715</v>
      </c>
      <c r="P31" s="8">
        <f>الجدول2[[#This Row],[ضريبة العمولة ]]+الجدول2[[#This Row],[العمولة ]]</f>
        <v>22932.777777777781</v>
      </c>
      <c r="Q31" s="8"/>
      <c r="R31" s="8">
        <f>الجدول2[[#This Row],[مكافاة البيع ]]+الجدول2[[#This Row],[العمولة شاملة الضريبة ]]</f>
        <v>22932.777777777781</v>
      </c>
      <c r="S31" s="15">
        <f>الجدول2[[#This Row],[العمولة + مكافاة البيع]]</f>
        <v>22932.777777777781</v>
      </c>
      <c r="T31" s="8">
        <f>الجدول2[[#This Row],[العمولة + مكافاة البيع]]-الجدول2[[#This Row],[المسدد من العمولة ]]</f>
        <v>0</v>
      </c>
      <c r="U31" s="8"/>
      <c r="V31" s="31">
        <f>الجدول2[[#This Row],[قيمة الوحدة ]]*0.7-الجدول2[[#This Row],[إجمالي الدفعات المحصلة]]</f>
        <v>0</v>
      </c>
      <c r="W31" s="31">
        <f>الجدول2[[#This Row],[قيمة الوحدة ]]*0.15</f>
        <v>88455</v>
      </c>
      <c r="X31" s="31">
        <f>الجدول2[[#This Row],[قيمة الوحدة ]]*0.1</f>
        <v>58970</v>
      </c>
      <c r="Y31" s="31">
        <f>الجدول2[[#This Row],[قيمة الوحدة ]]*0.05</f>
        <v>29485</v>
      </c>
      <c r="Z31" s="8">
        <f>SUM(الجدول2[[#This Row],[تحصيل 4-2026 إيصال الى 70%]:[تحصيل 11-2026 إيصال الى 100%]])+الجدول2[[#This Row],[إجمالي الدفعات المحصلة]]</f>
        <v>589700</v>
      </c>
      <c r="AA31" s="8">
        <f>الجدول2[[#This Row],[اجمالي الوحدة المحصلة]]-الجدول2[[#This Row],[قيمة الوحدة ]]</f>
        <v>0</v>
      </c>
    </row>
    <row r="32" spans="1:27" ht="18.399999999999999" x14ac:dyDescent="0.85">
      <c r="A32" s="7">
        <v>31</v>
      </c>
      <c r="B32" s="6" t="s">
        <v>170</v>
      </c>
      <c r="C32" s="7" t="s">
        <v>29</v>
      </c>
      <c r="D32" s="8">
        <v>154.07</v>
      </c>
      <c r="E32" s="6" t="s">
        <v>32</v>
      </c>
      <c r="F32" s="6" t="s">
        <v>103</v>
      </c>
      <c r="G32" s="8">
        <v>589700</v>
      </c>
      <c r="H32" s="30">
        <v>46049</v>
      </c>
      <c r="I32" s="7"/>
      <c r="J32" s="8">
        <f>SUMIF('الدفعات والتحصيل'!B:B,الجدول2[[#This Row],[رقم الوحدة]],'الدفعات والتحصيل'!D:D)</f>
        <v>412790</v>
      </c>
      <c r="K32" s="16">
        <f>IFERROR(الجدول2[[#This Row],[إجمالي الدفعات المحصلة]]/الجدول2[[#This Row],[قيمة الوحدة ]],0)</f>
        <v>0.7</v>
      </c>
      <c r="L32" s="8">
        <f>'العملاء والوحدات'!$G32-'العملاء والوحدات'!$J32</f>
        <v>176910</v>
      </c>
      <c r="M32" s="8">
        <f>الجدول2[[#This Row],[قيمة الوحدة ]]/1.035</f>
        <v>569758.45410628023</v>
      </c>
      <c r="N32" s="8">
        <f>الجدول2[[#This Row],[قيمة الوحدة بدون السعي ]]*0.035</f>
        <v>19941.545893719809</v>
      </c>
      <c r="O32" s="8">
        <f>الجدول2[[#This Row],[العمولة ]]*0.15</f>
        <v>2991.2318840579715</v>
      </c>
      <c r="P32" s="8">
        <f>الجدول2[[#This Row],[ضريبة العمولة ]]+الجدول2[[#This Row],[العمولة ]]</f>
        <v>22932.777777777781</v>
      </c>
      <c r="Q32" s="8"/>
      <c r="R32" s="8">
        <f>الجدول2[[#This Row],[مكافاة البيع ]]+الجدول2[[#This Row],[العمولة شاملة الضريبة ]]</f>
        <v>22932.777777777781</v>
      </c>
      <c r="S32" s="15">
        <f>الجدول2[[#This Row],[العمولة + مكافاة البيع]]</f>
        <v>22932.777777777781</v>
      </c>
      <c r="T32" s="8">
        <f>الجدول2[[#This Row],[العمولة + مكافاة البيع]]-الجدول2[[#This Row],[المسدد من العمولة ]]</f>
        <v>0</v>
      </c>
      <c r="U32" s="8"/>
      <c r="V32" s="31">
        <f>الجدول2[[#This Row],[قيمة الوحدة ]]*0.7-الجدول2[[#This Row],[إجمالي الدفعات المحصلة]]</f>
        <v>0</v>
      </c>
      <c r="W32" s="31">
        <f>الجدول2[[#This Row],[قيمة الوحدة ]]*0.15</f>
        <v>88455</v>
      </c>
      <c r="X32" s="31">
        <f>الجدول2[[#This Row],[قيمة الوحدة ]]*0.1</f>
        <v>58970</v>
      </c>
      <c r="Y32" s="31">
        <f>الجدول2[[#This Row],[قيمة الوحدة ]]*0.05</f>
        <v>29485</v>
      </c>
      <c r="Z32" s="8">
        <f>SUM(الجدول2[[#This Row],[تحصيل 4-2026 إيصال الى 70%]:[تحصيل 11-2026 إيصال الى 100%]])+الجدول2[[#This Row],[إجمالي الدفعات المحصلة]]</f>
        <v>589700</v>
      </c>
      <c r="AA32" s="8">
        <f>الجدول2[[#This Row],[اجمالي الوحدة المحصلة]]-الجدول2[[#This Row],[قيمة الوحدة ]]</f>
        <v>0</v>
      </c>
    </row>
    <row r="33" spans="1:27" ht="18.399999999999999" hidden="1" x14ac:dyDescent="0.85">
      <c r="A33" s="7">
        <v>32</v>
      </c>
      <c r="B33" s="6" t="s">
        <v>123</v>
      </c>
      <c r="C33" s="7" t="s">
        <v>29</v>
      </c>
      <c r="D33" s="8">
        <v>140.63</v>
      </c>
      <c r="E33" s="6" t="s">
        <v>32</v>
      </c>
      <c r="F33" s="6" t="s">
        <v>110</v>
      </c>
      <c r="G33" s="8">
        <v>613410</v>
      </c>
      <c r="H33" s="30">
        <v>46060</v>
      </c>
      <c r="I33" s="7"/>
      <c r="J33" s="8">
        <v>1</v>
      </c>
      <c r="K33" s="16">
        <f>IFERROR(الجدول2[[#This Row],[إجمالي الدفعات المحصلة]]/الجدول2[[#This Row],[قيمة الوحدة ]],0)</f>
        <v>1.630231003733229E-6</v>
      </c>
      <c r="L33" s="8">
        <f>'العملاء والوحدات'!$G33-'العملاء والوحدات'!$J33</f>
        <v>613409</v>
      </c>
      <c r="M33" s="8">
        <f>الجدول2[[#This Row],[قيمة الوحدة ]]/1.035</f>
        <v>592666.66666666674</v>
      </c>
      <c r="N33" s="8">
        <f>الجدول2[[#This Row],[قيمة الوحدة بدون السعي ]]*0.035</f>
        <v>20743.333333333339</v>
      </c>
      <c r="O33" s="8">
        <f>الجدول2[[#This Row],[العمولة ]]*0.15</f>
        <v>3111.5000000000009</v>
      </c>
      <c r="P33" s="8">
        <f>الجدول2[[#This Row],[ضريبة العمولة ]]+الجدول2[[#This Row],[العمولة ]]</f>
        <v>23854.833333333339</v>
      </c>
      <c r="Q33" s="8"/>
      <c r="R33" s="54">
        <f>الجدول2[[#This Row],[مكافاة البيع ]]+الجدول2[[#This Row],[العمولة شاملة الضريبة ]]</f>
        <v>23854.833333333339</v>
      </c>
      <c r="S33" s="8"/>
      <c r="T33" s="8">
        <f>الجدول2[[#This Row],[العمولة + مكافاة البيع]]-الجدول2[[#This Row],[المسدد من العمولة ]]</f>
        <v>23854.833333333339</v>
      </c>
      <c r="U33" s="8"/>
      <c r="V33" s="31">
        <f>الجدول2[[#This Row],[قيمة الوحدة ]]*0.7-الجدول2[[#This Row],[إجمالي الدفعات المحصلة]]</f>
        <v>429386</v>
      </c>
      <c r="W33" s="31">
        <f>الجدول2[[#This Row],[قيمة الوحدة ]]*0.15</f>
        <v>92011.5</v>
      </c>
      <c r="X33" s="31">
        <f>الجدول2[[#This Row],[قيمة الوحدة ]]*0.1</f>
        <v>61341</v>
      </c>
      <c r="Y33" s="31">
        <f>الجدول2[[#This Row],[قيمة الوحدة ]]*0.05</f>
        <v>30670.5</v>
      </c>
      <c r="Z33" s="8">
        <f>SUM(الجدول2[[#This Row],[تحصيل 4-2026 إيصال الى 70%]:[تحصيل 11-2026 إيصال الى 100%]])+الجدول2[[#This Row],[إجمالي الدفعات المحصلة]]</f>
        <v>613410</v>
      </c>
      <c r="AA33" s="8">
        <f>الجدول2[[#This Row],[اجمالي الوحدة المحصلة]]-الجدول2[[#This Row],[قيمة الوحدة ]]</f>
        <v>0</v>
      </c>
    </row>
    <row r="34" spans="1:27" ht="18.399999999999999" x14ac:dyDescent="0.85">
      <c r="A34" s="7">
        <v>33</v>
      </c>
      <c r="B34" s="6" t="s">
        <v>124</v>
      </c>
      <c r="C34" s="7" t="s">
        <v>29</v>
      </c>
      <c r="D34" s="8">
        <v>118.21</v>
      </c>
      <c r="E34" s="6" t="s">
        <v>34</v>
      </c>
      <c r="F34" s="6" t="s">
        <v>98</v>
      </c>
      <c r="G34" s="8">
        <v>500000</v>
      </c>
      <c r="H34" s="30">
        <v>46055</v>
      </c>
      <c r="I34" s="7"/>
      <c r="J34" s="8">
        <f>SUMIF('الدفعات والتحصيل'!B:B,الجدول2[[#This Row],[رقم الوحدة]],'الدفعات والتحصيل'!D:D)</f>
        <v>250000</v>
      </c>
      <c r="K34" s="16">
        <f>IFERROR(الجدول2[[#This Row],[إجمالي الدفعات المحصلة]]/الجدول2[[#This Row],[قيمة الوحدة ]],0)</f>
        <v>0.5</v>
      </c>
      <c r="L34" s="8">
        <f>'العملاء والوحدات'!$G34-'العملاء والوحدات'!$J34</f>
        <v>250000</v>
      </c>
      <c r="M34" s="8">
        <f>الجدول2[[#This Row],[قيمة الوحدة ]]/1.035</f>
        <v>483091.78743961354</v>
      </c>
      <c r="N34" s="8">
        <f>الجدول2[[#This Row],[قيمة الوحدة بدون السعي ]]*0.035</f>
        <v>16908.212560386477</v>
      </c>
      <c r="O34" s="8">
        <f>الجدول2[[#This Row],[العمولة ]]*0.15</f>
        <v>2536.2318840579715</v>
      </c>
      <c r="P34" s="8">
        <f>الجدول2[[#This Row],[ضريبة العمولة ]]+الجدول2[[#This Row],[العمولة ]]</f>
        <v>19444.444444444449</v>
      </c>
      <c r="Q34" s="8">
        <v>5750</v>
      </c>
      <c r="R34" s="8">
        <f>الجدول2[[#This Row],[مكافاة البيع ]]+الجدول2[[#This Row],[العمولة شاملة الضريبة ]]</f>
        <v>25194.444444444449</v>
      </c>
      <c r="S34" s="8">
        <f>الجدول2[[#This Row],[العمولة + مكافاة البيع]]</f>
        <v>25194.444444444449</v>
      </c>
      <c r="T34" s="8">
        <f>الجدول2[[#This Row],[العمولة + مكافاة البيع]]-الجدول2[[#This Row],[المسدد من العمولة ]]</f>
        <v>0</v>
      </c>
      <c r="U34" s="8"/>
      <c r="V34" s="31">
        <f>الجدول2[[#This Row],[قيمة الوحدة ]]*0.7-الجدول2[[#This Row],[إجمالي الدفعات المحصلة]]</f>
        <v>100000</v>
      </c>
      <c r="W34" s="31">
        <f>الجدول2[[#This Row],[قيمة الوحدة ]]*0.15</f>
        <v>75000</v>
      </c>
      <c r="X34" s="31">
        <f>الجدول2[[#This Row],[قيمة الوحدة ]]*0.1</f>
        <v>50000</v>
      </c>
      <c r="Y34" s="31">
        <f>الجدول2[[#This Row],[قيمة الوحدة ]]*0.05</f>
        <v>25000</v>
      </c>
      <c r="Z34" s="8">
        <f>SUM(الجدول2[[#This Row],[تحصيل 4-2026 إيصال الى 70%]:[تحصيل 11-2026 إيصال الى 100%]])+الجدول2[[#This Row],[إجمالي الدفعات المحصلة]]</f>
        <v>500000</v>
      </c>
      <c r="AA34" s="8">
        <f>الجدول2[[#This Row],[اجمالي الوحدة المحصلة]]-الجدول2[[#This Row],[قيمة الوحدة ]]</f>
        <v>0</v>
      </c>
    </row>
    <row r="35" spans="1:27" ht="18.399999999999999" x14ac:dyDescent="0.85">
      <c r="A35" s="7">
        <v>34</v>
      </c>
      <c r="B35" s="6" t="s">
        <v>171</v>
      </c>
      <c r="C35" s="7" t="s">
        <v>29</v>
      </c>
      <c r="D35" s="8">
        <v>115.76</v>
      </c>
      <c r="E35" s="6" t="s">
        <v>34</v>
      </c>
      <c r="F35" s="6" t="s">
        <v>103</v>
      </c>
      <c r="G35" s="49">
        <v>497750</v>
      </c>
      <c r="H35" s="30">
        <v>46061</v>
      </c>
      <c r="I35" s="7"/>
      <c r="J35" s="8">
        <f>SUMIF('الدفعات والتحصيل'!B:B,الجدول2[[#This Row],[رقم الوحدة]],'الدفعات والتحصيل'!D:D)</f>
        <v>248875</v>
      </c>
      <c r="K35" s="16">
        <f>IFERROR(الجدول2[[#This Row],[إجمالي الدفعات المحصلة]]/الجدول2[[#This Row],[قيمة الوحدة ]],0)</f>
        <v>0.5</v>
      </c>
      <c r="L35" s="8">
        <f>'العملاء والوحدات'!$G35-'العملاء والوحدات'!$J35</f>
        <v>248875</v>
      </c>
      <c r="M35" s="8">
        <f>الجدول2[[#This Row],[قيمة الوحدة ]]/1.035</f>
        <v>480917.87439613527</v>
      </c>
      <c r="N35" s="8">
        <f>الجدول2[[#This Row],[قيمة الوحدة بدون السعي ]]*0.035</f>
        <v>16832.125603864737</v>
      </c>
      <c r="O35" s="8">
        <f>الجدول2[[#This Row],[العمولة ]]*0.15</f>
        <v>2524.8188405797105</v>
      </c>
      <c r="P35" s="8">
        <f>الجدول2[[#This Row],[ضريبة العمولة ]]+الجدول2[[#This Row],[العمولة ]]</f>
        <v>19356.944444444449</v>
      </c>
      <c r="Q35" s="8"/>
      <c r="R35" s="8">
        <f>الجدول2[[#This Row],[مكافاة البيع ]]+الجدول2[[#This Row],[العمولة شاملة الضريبة ]]</f>
        <v>19356.944444444449</v>
      </c>
      <c r="S35" s="8"/>
      <c r="T35" s="8">
        <f>الجدول2[[#This Row],[العمولة + مكافاة البيع]]-الجدول2[[#This Row],[المسدد من العمولة ]]</f>
        <v>19356.944444444449</v>
      </c>
      <c r="U35" s="8"/>
      <c r="V35" s="31">
        <f>الجدول2[[#This Row],[قيمة الوحدة ]]*0.7-الجدول2[[#This Row],[إجمالي الدفعات المحصلة]]</f>
        <v>99550</v>
      </c>
      <c r="W35" s="31">
        <f>الجدول2[[#This Row],[قيمة الوحدة ]]*0.15</f>
        <v>74662.5</v>
      </c>
      <c r="X35" s="31">
        <f>الجدول2[[#This Row],[قيمة الوحدة ]]*0.1</f>
        <v>49775</v>
      </c>
      <c r="Y35" s="31">
        <f>الجدول2[[#This Row],[قيمة الوحدة ]]*0.05</f>
        <v>24887.5</v>
      </c>
      <c r="Z35" s="8">
        <f>SUM(الجدول2[[#This Row],[تحصيل 4-2026 إيصال الى 70%]:[تحصيل 11-2026 إيصال الى 100%]])+الجدول2[[#This Row],[إجمالي الدفعات المحصلة]]</f>
        <v>497750</v>
      </c>
      <c r="AA35" s="8">
        <f>الجدول2[[#This Row],[اجمالي الوحدة المحصلة]]-الجدول2[[#This Row],[قيمة الوحدة ]]</f>
        <v>0</v>
      </c>
    </row>
    <row r="36" spans="1:27" ht="18.399999999999999" x14ac:dyDescent="0.85">
      <c r="A36" s="7">
        <v>35</v>
      </c>
      <c r="B36" s="6" t="s">
        <v>344</v>
      </c>
      <c r="C36" s="7" t="s">
        <v>29</v>
      </c>
      <c r="D36" s="8">
        <v>153.84</v>
      </c>
      <c r="E36" s="6" t="s">
        <v>35</v>
      </c>
      <c r="F36" s="6"/>
      <c r="G36" s="8">
        <v>750735</v>
      </c>
      <c r="H36" s="30"/>
      <c r="I36" s="7"/>
      <c r="J36" s="8">
        <f>SUMIF('الدفعات والتحصيل'!B:B,الجدول2[[#This Row],[رقم الوحدة]],'الدفعات والتحصيل'!D:D)</f>
        <v>296400</v>
      </c>
      <c r="K36" s="16">
        <f>IFERROR(الجدول2[[#This Row],[إجمالي الدفعات المحصلة]]/الجدول2[[#This Row],[قيمة الوحدة ]],0)</f>
        <v>0.39481308317848507</v>
      </c>
      <c r="L36" s="8">
        <f>'العملاء والوحدات'!$G36-'العملاء والوحدات'!$J36</f>
        <v>454335</v>
      </c>
      <c r="M36" s="8">
        <f>الجدول2[[#This Row],[قيمة الوحدة ]]/1.035</f>
        <v>725347.82608695654</v>
      </c>
      <c r="N36" s="8">
        <f>الجدول2[[#This Row],[قيمة الوحدة بدون السعي ]]*0.035</f>
        <v>25387.17391304348</v>
      </c>
      <c r="O36" s="8">
        <f>الجدول2[[#This Row],[العمولة ]]*0.15</f>
        <v>3808.076086956522</v>
      </c>
      <c r="P36" s="8">
        <f>الجدول2[[#This Row],[ضريبة العمولة ]]+الجدول2[[#This Row],[العمولة ]]</f>
        <v>29195.25</v>
      </c>
      <c r="Q36" s="8"/>
      <c r="R36" s="8">
        <f>الجدول2[[#This Row],[مكافاة البيع ]]+الجدول2[[#This Row],[العمولة شاملة الضريبة ]]</f>
        <v>29195.25</v>
      </c>
      <c r="S36" s="8"/>
      <c r="T36" s="8">
        <f>الجدول2[[#This Row],[العمولة + مكافاة البيع]]-الجدول2[[#This Row],[المسدد من العمولة ]]</f>
        <v>29195.25</v>
      </c>
      <c r="U36" s="8"/>
      <c r="V36" s="31">
        <f>الجدول2[[#This Row],[قيمة الوحدة ]]*0.7-الجدول2[[#This Row],[إجمالي الدفعات المحصلة]]</f>
        <v>229114.5</v>
      </c>
      <c r="W36" s="31">
        <f>الجدول2[[#This Row],[قيمة الوحدة ]]*0.15</f>
        <v>112610.25</v>
      </c>
      <c r="X36" s="31">
        <f>الجدول2[[#This Row],[قيمة الوحدة ]]*0.1</f>
        <v>75073.5</v>
      </c>
      <c r="Y36" s="31">
        <f>الجدول2[[#This Row],[قيمة الوحدة ]]*0.05</f>
        <v>37536.75</v>
      </c>
      <c r="Z36" s="8">
        <f>SUM(الجدول2[[#This Row],[تحصيل 4-2026 إيصال الى 70%]:[تحصيل 11-2026 إيصال الى 100%]])+الجدول2[[#This Row],[إجمالي الدفعات المحصلة]]</f>
        <v>750735</v>
      </c>
      <c r="AA36" s="8">
        <f>الجدول2[[#This Row],[اجمالي الوحدة المحصلة]]-الجدول2[[#This Row],[قيمة الوحدة ]]</f>
        <v>0</v>
      </c>
    </row>
    <row r="37" spans="1:27" ht="18.399999999999999" x14ac:dyDescent="0.85">
      <c r="A37" s="79">
        <v>40</v>
      </c>
      <c r="B37" s="80" t="s">
        <v>347</v>
      </c>
      <c r="C37" s="7" t="s">
        <v>29</v>
      </c>
      <c r="D37" s="8">
        <v>153.84</v>
      </c>
      <c r="E37" s="6" t="s">
        <v>35</v>
      </c>
      <c r="F37" s="6"/>
      <c r="G37" s="8">
        <v>750735</v>
      </c>
      <c r="H37" s="81"/>
      <c r="I37" s="79"/>
      <c r="J37" s="81">
        <f>SUMIF('الدفعات والتحصيل'!B:B,الجدول2[[#This Row],[رقم الوحدة]],'الدفعات والتحصيل'!D:D)</f>
        <v>0</v>
      </c>
      <c r="K37" s="82">
        <f>IFERROR(الجدول2[[#This Row],[إجمالي الدفعات المحصلة]]/الجدول2[[#This Row],[قيمة الوحدة ]],0)</f>
        <v>0</v>
      </c>
      <c r="L37" s="81"/>
      <c r="M37" s="81">
        <f>الجدول2[[#This Row],[قيمة الوحدة ]]/1.035</f>
        <v>725347.82608695654</v>
      </c>
      <c r="N37" s="81">
        <f>الجدول2[[#This Row],[قيمة الوحدة بدون السعي ]]*0.035</f>
        <v>25387.17391304348</v>
      </c>
      <c r="O37" s="81">
        <f>الجدول2[[#This Row],[العمولة ]]*0.15</f>
        <v>3808.076086956522</v>
      </c>
      <c r="P37" s="81">
        <f>الجدول2[[#This Row],[ضريبة العمولة ]]+الجدول2[[#This Row],[العمولة ]]</f>
        <v>29195.25</v>
      </c>
      <c r="Q37" s="81"/>
      <c r="R37" s="81">
        <f>الجدول2[[#This Row],[مكافاة البيع ]]+الجدول2[[#This Row],[العمولة شاملة الضريبة ]]</f>
        <v>29195.25</v>
      </c>
      <c r="S37" s="81"/>
      <c r="T37" s="81">
        <f>الجدول2[[#This Row],[العمولة + مكافاة البيع]]-الجدول2[[#This Row],[المسدد من العمولة ]]</f>
        <v>29195.25</v>
      </c>
      <c r="U37" s="81"/>
      <c r="V37" s="31">
        <f>الجدول2[[#This Row],[قيمة الوحدة ]]*0.7-الجدول2[[#This Row],[إجمالي الدفعات المحصلة]]</f>
        <v>525514.5</v>
      </c>
      <c r="W37" s="31">
        <f>الجدول2[[#This Row],[قيمة الوحدة ]]*0.85-الجدول2[[#This Row],[إجمالي الدفعات المحصلة]]</f>
        <v>638124.75</v>
      </c>
      <c r="X37" s="31">
        <f>الجدول2[[#This Row],[قيمة الوحدة ]]*0.7-الجدول2[[#This Row],[إجمالي الدفعات المحصلة]]</f>
        <v>525514.5</v>
      </c>
      <c r="Y37" s="31">
        <f>الجدول2[[#This Row],[قيمة الوحدة ]]*0.7-الجدول2[[#This Row],[إجمالي الدفعات المحصلة]]</f>
        <v>525514.5</v>
      </c>
      <c r="Z37" s="81">
        <f>SUM(الجدول2[[#This Row],[تحصيل 4-2026 إيصال الى 70%]:[تحصيل 11-2026 إيصال الى 100%]])</f>
        <v>2214668.25</v>
      </c>
      <c r="AA37" s="81">
        <f>الجدول2[[#This Row],[اجمالي الوحدة المحصلة]]-الجدول2[[#This Row],[قيمة الوحدة ]]</f>
        <v>1463933.25</v>
      </c>
    </row>
    <row r="38" spans="1:27" ht="18.399999999999999" x14ac:dyDescent="0.85">
      <c r="A38" s="7">
        <v>36</v>
      </c>
      <c r="B38" s="6" t="s">
        <v>172</v>
      </c>
      <c r="C38" s="7" t="s">
        <v>29</v>
      </c>
      <c r="D38" s="8">
        <v>138.63999999999999</v>
      </c>
      <c r="E38" s="6" t="s">
        <v>32</v>
      </c>
      <c r="F38" s="6" t="s">
        <v>103</v>
      </c>
      <c r="G38" s="49">
        <v>657000</v>
      </c>
      <c r="H38" s="30">
        <v>46061</v>
      </c>
      <c r="I38" s="7"/>
      <c r="J38" s="8">
        <f>SUMIF('الدفعات والتحصيل'!B:B,الجدول2[[#This Row],[رقم الوحدة]],'الدفعات والتحصيل'!D:D)</f>
        <v>459900</v>
      </c>
      <c r="K38" s="16">
        <f>IFERROR(الجدول2[[#This Row],[إجمالي الدفعات المحصلة]]/الجدول2[[#This Row],[قيمة الوحدة ]],0)</f>
        <v>0.7</v>
      </c>
      <c r="L38" s="8">
        <f>'العملاء والوحدات'!$G38-'العملاء والوحدات'!$J38</f>
        <v>197100</v>
      </c>
      <c r="M38" s="15">
        <f>الجدول2[[#This Row],[قيمة الوحدة ]]/1.035</f>
        <v>634782.60869565222</v>
      </c>
      <c r="N38" s="8">
        <f>الجدول2[[#This Row],[قيمة الوحدة بدون السعي ]]*0.035</f>
        <v>22217.391304347831</v>
      </c>
      <c r="O38" s="8">
        <f>الجدول2[[#This Row],[العمولة ]]*0.15</f>
        <v>3332.6086956521744</v>
      </c>
      <c r="P38" s="8">
        <f>الجدول2[[#This Row],[ضريبة العمولة ]]+الجدول2[[#This Row],[العمولة ]]</f>
        <v>25550.000000000007</v>
      </c>
      <c r="Q38" s="8">
        <v>5750</v>
      </c>
      <c r="R38" s="8">
        <f>الجدول2[[#This Row],[مكافاة البيع ]]+الجدول2[[#This Row],[العمولة شاملة الضريبة ]]</f>
        <v>31300.000000000007</v>
      </c>
      <c r="S38" s="53">
        <v>31300</v>
      </c>
      <c r="T38" s="8">
        <f>الجدول2[[#This Row],[العمولة + مكافاة البيع]]-الجدول2[[#This Row],[المسدد من العمولة ]]</f>
        <v>0</v>
      </c>
      <c r="U38" s="8"/>
      <c r="V38" s="31">
        <f>الجدول2[[#This Row],[قيمة الوحدة ]]*0.7-الجدول2[[#This Row],[إجمالي الدفعات المحصلة]]</f>
        <v>0</v>
      </c>
      <c r="W38" s="31">
        <f>الجدول2[[#This Row],[قيمة الوحدة ]]*0.15</f>
        <v>98550</v>
      </c>
      <c r="X38" s="31">
        <f>الجدول2[[#This Row],[قيمة الوحدة ]]*0.1</f>
        <v>65700</v>
      </c>
      <c r="Y38" s="31">
        <f>الجدول2[[#This Row],[قيمة الوحدة ]]*0.05</f>
        <v>32850</v>
      </c>
      <c r="Z38" s="8">
        <f>SUM(الجدول2[[#This Row],[تحصيل 4-2026 إيصال الى 70%]:[تحصيل 11-2026 إيصال الى 100%]])+الجدول2[[#This Row],[إجمالي الدفعات المحصلة]]</f>
        <v>657000</v>
      </c>
      <c r="AA38" s="8">
        <f>الجدول2[[#This Row],[اجمالي الوحدة المحصلة]]-الجدول2[[#This Row],[قيمة الوحدة ]]</f>
        <v>0</v>
      </c>
    </row>
    <row r="39" spans="1:27" ht="18.399999999999999" hidden="1" x14ac:dyDescent="0.85">
      <c r="A39" s="7">
        <v>37</v>
      </c>
      <c r="B39" s="6"/>
      <c r="C39" s="7" t="s">
        <v>30</v>
      </c>
      <c r="D39" s="8">
        <v>128.74</v>
      </c>
      <c r="E39" s="6" t="s">
        <v>34</v>
      </c>
      <c r="F39" s="6"/>
      <c r="G39" s="8">
        <v>708960</v>
      </c>
      <c r="H39" s="30"/>
      <c r="I39" s="7"/>
      <c r="J39" s="8">
        <f>SUMIF('الدفعات والتحصيل'!B:B,الجدول2[[#This Row],[رقم الوحدة]],'الدفعات والتحصيل'!D:D)</f>
        <v>0</v>
      </c>
      <c r="K39" s="16">
        <f>IFERROR(الجدول2[[#This Row],[إجمالي الدفعات المحصلة]]/الجدول2[[#This Row],[قيمة الوحدة ]],0)</f>
        <v>0</v>
      </c>
      <c r="L39" s="8">
        <f>'العملاء والوحدات'!$G39-'العملاء والوحدات'!$J39</f>
        <v>708960</v>
      </c>
      <c r="M39" s="8">
        <f>الجدول2[[#This Row],[قيمة الوحدة ]]/1.035</f>
        <v>684985.50724637683</v>
      </c>
      <c r="N39" s="8">
        <f>الجدول2[[#This Row],[قيمة الوحدة بدون السعي ]]*0.035</f>
        <v>23974.492753623192</v>
      </c>
      <c r="O39" s="8">
        <f>الجدول2[[#This Row],[العمولة ]]*0.15</f>
        <v>3596.1739130434785</v>
      </c>
      <c r="P39" s="8">
        <f>الجدول2[[#This Row],[ضريبة العمولة ]]+الجدول2[[#This Row],[العمولة ]]</f>
        <v>27570.666666666672</v>
      </c>
      <c r="Q39" s="8"/>
      <c r="R39" s="8">
        <f>الجدول2[[#This Row],[مكافاة البيع ]]+الجدول2[[#This Row],[العمولة شاملة الضريبة ]]</f>
        <v>27570.666666666672</v>
      </c>
      <c r="S39" s="8"/>
      <c r="T39" s="8">
        <f>الجدول2[[#This Row],[العمولة + مكافاة البيع]]-الجدول2[[#This Row],[المسدد من العمولة ]]</f>
        <v>27570.666666666672</v>
      </c>
      <c r="U39" s="8"/>
      <c r="V39" s="31">
        <f>الجدول2[[#This Row],[قيمة الوحدة ]]*0.7-الجدول2[[#This Row],[إجمالي الدفعات المحصلة]]</f>
        <v>496271.99999999994</v>
      </c>
      <c r="W39" s="31">
        <f>الجدول2[[#This Row],[قيمة الوحدة ]]*0.15</f>
        <v>106344</v>
      </c>
      <c r="X39" s="31">
        <f>الجدول2[[#This Row],[قيمة الوحدة ]]*0.1</f>
        <v>70896</v>
      </c>
      <c r="Y39" s="31">
        <f>الجدول2[[#This Row],[قيمة الوحدة ]]*0.05</f>
        <v>35448</v>
      </c>
      <c r="Z39" s="8">
        <f>SUM(الجدول2[[#This Row],[تحصيل 4-2026 إيصال الى 70%]:[تحصيل 11-2026 إيصال الى 100%]])+الجدول2[[#This Row],[إجمالي الدفعات المحصلة]]</f>
        <v>708960</v>
      </c>
      <c r="AA39" s="8">
        <f>الجدول2[[#This Row],[اجمالي الوحدة المحصلة]]-الجدول2[[#This Row],[قيمة الوحدة ]]</f>
        <v>0</v>
      </c>
    </row>
    <row r="40" spans="1:27" ht="18.399999999999999" hidden="1" x14ac:dyDescent="0.85">
      <c r="A40" s="7">
        <v>38</v>
      </c>
      <c r="B40" s="6"/>
      <c r="C40" s="7" t="s">
        <v>30</v>
      </c>
      <c r="D40" s="8">
        <v>144.88</v>
      </c>
      <c r="E40" s="6" t="s">
        <v>34</v>
      </c>
      <c r="F40" s="6"/>
      <c r="G40" s="8">
        <v>737625</v>
      </c>
      <c r="H40" s="30"/>
      <c r="I40" s="7"/>
      <c r="J40" s="8">
        <f>SUMIF('الدفعات والتحصيل'!B:B,الجدول2[[#This Row],[رقم الوحدة]],'الدفعات والتحصيل'!D:D)</f>
        <v>0</v>
      </c>
      <c r="K40" s="16">
        <f>IFERROR(الجدول2[[#This Row],[إجمالي الدفعات المحصلة]]/الجدول2[[#This Row],[قيمة الوحدة ]],0)</f>
        <v>0</v>
      </c>
      <c r="L40" s="8">
        <f>'العملاء والوحدات'!$G40-'العملاء والوحدات'!$J40</f>
        <v>737625</v>
      </c>
      <c r="M40" s="8">
        <f>الجدول2[[#This Row],[قيمة الوحدة ]]/1.035</f>
        <v>712681.15942028991</v>
      </c>
      <c r="N40" s="8">
        <f>الجدول2[[#This Row],[قيمة الوحدة بدون السعي ]]*0.035</f>
        <v>24943.840579710148</v>
      </c>
      <c r="O40" s="8">
        <f>الجدول2[[#This Row],[العمولة ]]*0.15</f>
        <v>3741.576086956522</v>
      </c>
      <c r="P40" s="8">
        <f>الجدول2[[#This Row],[ضريبة العمولة ]]+الجدول2[[#This Row],[العمولة ]]</f>
        <v>28685.416666666672</v>
      </c>
      <c r="Q40" s="8"/>
      <c r="R40" s="8">
        <f>الجدول2[[#This Row],[مكافاة البيع ]]+الجدول2[[#This Row],[العمولة شاملة الضريبة ]]</f>
        <v>28685.416666666672</v>
      </c>
      <c r="S40" s="8"/>
      <c r="T40" s="8">
        <f>الجدول2[[#This Row],[العمولة + مكافاة البيع]]-الجدول2[[#This Row],[المسدد من العمولة ]]</f>
        <v>28685.416666666672</v>
      </c>
      <c r="U40" s="8"/>
      <c r="V40" s="31">
        <f>الجدول2[[#This Row],[قيمة الوحدة ]]*0.7-الجدول2[[#This Row],[إجمالي الدفعات المحصلة]]</f>
        <v>516337.49999999994</v>
      </c>
      <c r="W40" s="31">
        <f>الجدول2[[#This Row],[قيمة الوحدة ]]*0.15</f>
        <v>110643.75</v>
      </c>
      <c r="X40" s="31">
        <f>الجدول2[[#This Row],[قيمة الوحدة ]]*0.1</f>
        <v>73762.5</v>
      </c>
      <c r="Y40" s="31">
        <f>الجدول2[[#This Row],[قيمة الوحدة ]]*0.05</f>
        <v>36881.25</v>
      </c>
      <c r="Z40" s="8">
        <f>SUM(الجدول2[[#This Row],[تحصيل 4-2026 إيصال الى 70%]:[تحصيل 11-2026 إيصال الى 100%]])+الجدول2[[#This Row],[إجمالي الدفعات المحصلة]]</f>
        <v>737625</v>
      </c>
      <c r="AA40" s="8">
        <f>الجدول2[[#This Row],[اجمالي الوحدة المحصلة]]-الجدول2[[#This Row],[قيمة الوحدة ]]</f>
        <v>0</v>
      </c>
    </row>
    <row r="41" spans="1:27" ht="18.399999999999999" hidden="1" x14ac:dyDescent="0.85">
      <c r="A41" s="7">
        <v>39</v>
      </c>
      <c r="B41" s="6"/>
      <c r="C41" s="7" t="s">
        <v>30</v>
      </c>
      <c r="D41" s="8">
        <v>128.80000000000001</v>
      </c>
      <c r="E41" s="6" t="s">
        <v>34</v>
      </c>
      <c r="F41" s="6"/>
      <c r="G41" s="8">
        <v>704183</v>
      </c>
      <c r="H41" s="8"/>
      <c r="I41" s="7"/>
      <c r="J41" s="8">
        <f>SUMIF('الدفعات والتحصيل'!B:B,الجدول2[[#This Row],[رقم الوحدة]],'الدفعات والتحصيل'!D:D)</f>
        <v>0</v>
      </c>
      <c r="K41" s="16">
        <f>IFERROR(الجدول2[[#This Row],[إجمالي الدفعات المحصلة]]/الجدول2[[#This Row],[قيمة الوحدة ]],0)</f>
        <v>0</v>
      </c>
      <c r="L41" s="8">
        <f>'العملاء والوحدات'!$G41-'العملاء والوحدات'!$J41</f>
        <v>704183</v>
      </c>
      <c r="M41" s="8">
        <f>الجدول2[[#This Row],[قيمة الوحدة ]]/1.035</f>
        <v>680370.04830917879</v>
      </c>
      <c r="N41" s="8">
        <f>الجدول2[[#This Row],[قيمة الوحدة بدون السعي ]]*0.035</f>
        <v>23812.951690821261</v>
      </c>
      <c r="O41" s="8">
        <f>الجدول2[[#This Row],[العمولة ]]*0.15</f>
        <v>3571.9427536231892</v>
      </c>
      <c r="P41" s="8">
        <f>الجدول2[[#This Row],[ضريبة العمولة ]]+الجدول2[[#This Row],[العمولة ]]</f>
        <v>27384.89444444445</v>
      </c>
      <c r="Q41" s="8"/>
      <c r="R41" s="8">
        <f>الجدول2[[#This Row],[مكافاة البيع ]]+الجدول2[[#This Row],[العمولة شاملة الضريبة ]]</f>
        <v>27384.89444444445</v>
      </c>
      <c r="S41" s="8"/>
      <c r="T41" s="8">
        <f>الجدول2[[#This Row],[العمولة + مكافاة البيع]]-الجدول2[[#This Row],[المسدد من العمولة ]]</f>
        <v>27384.89444444445</v>
      </c>
      <c r="U41" s="8"/>
      <c r="V41" s="31">
        <f>الجدول2[[#This Row],[قيمة الوحدة ]]*0.7-الجدول2[[#This Row],[إجمالي الدفعات المحصلة]]</f>
        <v>492928.1</v>
      </c>
      <c r="W41" s="31">
        <f>الجدول2[[#This Row],[قيمة الوحدة ]]*0.15</f>
        <v>105627.45</v>
      </c>
      <c r="X41" s="31">
        <f>الجدول2[[#This Row],[قيمة الوحدة ]]*0.1</f>
        <v>70418.3</v>
      </c>
      <c r="Y41" s="31">
        <f>الجدول2[[#This Row],[قيمة الوحدة ]]*0.05</f>
        <v>35209.15</v>
      </c>
      <c r="Z41" s="8">
        <f>SUM(الجدول2[[#This Row],[تحصيل 4-2026 إيصال الى 70%]:[تحصيل 11-2026 إيصال الى 100%]])+الجدول2[[#This Row],[إجمالي الدفعات المحصلة]]</f>
        <v>704183</v>
      </c>
      <c r="AA41" s="8">
        <f>الجدول2[[#This Row],[اجمالي الوحدة المحصلة]]-الجدول2[[#This Row],[قيمة الوحدة ]]</f>
        <v>0</v>
      </c>
    </row>
    <row r="42" spans="1:27" ht="18.399999999999999" hidden="1" x14ac:dyDescent="0.85">
      <c r="A42" s="7">
        <v>40</v>
      </c>
      <c r="B42" s="6"/>
      <c r="C42" s="7" t="s">
        <v>30</v>
      </c>
      <c r="D42" s="8">
        <v>128.53</v>
      </c>
      <c r="E42" s="6" t="s">
        <v>34</v>
      </c>
      <c r="F42" s="6"/>
      <c r="G42" s="8">
        <v>708960</v>
      </c>
      <c r="H42" s="8"/>
      <c r="I42" s="7"/>
      <c r="J42" s="8">
        <f>SUMIF('الدفعات والتحصيل'!B:B,الجدول2[[#This Row],[رقم الوحدة]],'الدفعات والتحصيل'!D:D)</f>
        <v>0</v>
      </c>
      <c r="K42" s="16">
        <f>IFERROR(الجدول2[[#This Row],[إجمالي الدفعات المحصلة]]/الجدول2[[#This Row],[قيمة الوحدة ]],0)</f>
        <v>0</v>
      </c>
      <c r="L42" s="8">
        <f>'العملاء والوحدات'!$G42-'العملاء والوحدات'!$J42</f>
        <v>708960</v>
      </c>
      <c r="M42" s="8">
        <f>الجدول2[[#This Row],[قيمة الوحدة ]]/1.035</f>
        <v>684985.50724637683</v>
      </c>
      <c r="N42" s="8">
        <f>الجدول2[[#This Row],[قيمة الوحدة بدون السعي ]]*0.035</f>
        <v>23974.492753623192</v>
      </c>
      <c r="O42" s="8">
        <f>الجدول2[[#This Row],[العمولة ]]*0.15</f>
        <v>3596.1739130434785</v>
      </c>
      <c r="P42" s="8">
        <f>الجدول2[[#This Row],[ضريبة العمولة ]]+الجدول2[[#This Row],[العمولة ]]</f>
        <v>27570.666666666672</v>
      </c>
      <c r="Q42" s="8"/>
      <c r="R42" s="8">
        <f>الجدول2[[#This Row],[مكافاة البيع ]]+الجدول2[[#This Row],[العمولة شاملة الضريبة ]]</f>
        <v>27570.666666666672</v>
      </c>
      <c r="S42" s="8"/>
      <c r="T42" s="8">
        <f>الجدول2[[#This Row],[العمولة + مكافاة البيع]]-الجدول2[[#This Row],[المسدد من العمولة ]]</f>
        <v>27570.666666666672</v>
      </c>
      <c r="U42" s="8"/>
      <c r="V42" s="31">
        <f>الجدول2[[#This Row],[قيمة الوحدة ]]*0.7-الجدول2[[#This Row],[إجمالي الدفعات المحصلة]]</f>
        <v>496271.99999999994</v>
      </c>
      <c r="W42" s="31">
        <f>الجدول2[[#This Row],[قيمة الوحدة ]]*0.15</f>
        <v>106344</v>
      </c>
      <c r="X42" s="31">
        <f>الجدول2[[#This Row],[قيمة الوحدة ]]*0.1</f>
        <v>70896</v>
      </c>
      <c r="Y42" s="31">
        <f>الجدول2[[#This Row],[قيمة الوحدة ]]*0.05</f>
        <v>35448</v>
      </c>
      <c r="Z42" s="8">
        <f>SUM(الجدول2[[#This Row],[تحصيل 4-2026 إيصال الى 70%]:[تحصيل 11-2026 إيصال الى 100%]])+الجدول2[[#This Row],[إجمالي الدفعات المحصلة]]</f>
        <v>708960</v>
      </c>
      <c r="AA42" s="8">
        <f>الجدول2[[#This Row],[اجمالي الوحدة المحصلة]]-الجدول2[[#This Row],[قيمة الوحدة ]]</f>
        <v>0</v>
      </c>
    </row>
    <row r="43" spans="1:27" ht="18.399999999999999" x14ac:dyDescent="0.85">
      <c r="A43" s="7"/>
      <c r="B43" s="6">
        <f>SUBTOTAL(103,الجدول2[اسم العميل])</f>
        <v>26</v>
      </c>
      <c r="C43" s="7"/>
      <c r="D43" s="8"/>
      <c r="E43" s="6"/>
      <c r="F43" s="6"/>
      <c r="G43" s="8">
        <f>SUBTOTAL(109,الجدول2[[قيمة الوحدة ]])</f>
        <v>15054819</v>
      </c>
      <c r="H43" s="8"/>
      <c r="I43" s="8">
        <f>SUBTOTAL(109,الجدول2[تاريخ العقد])</f>
        <v>0</v>
      </c>
      <c r="J43" s="8">
        <f>SUBTOTAL(109,الجدول2[إجمالي الدفعات المحصلة])</f>
        <v>8415474.0999999996</v>
      </c>
      <c r="K43" s="8"/>
      <c r="L43" s="8">
        <f>SUBTOTAL(109,الجدول2[الرصيد المتبقي الفعلي])</f>
        <v>5888609.9000000004</v>
      </c>
      <c r="M43" s="8">
        <f>SUBTOTAL(109,الجدول2[[قيمة الوحدة بدون السعي ]])</f>
        <v>14545718.840579713</v>
      </c>
      <c r="N43" s="8">
        <f>SUBTOTAL(109,الجدول2[[العمولة ]])</f>
        <v>509100.15942028997</v>
      </c>
      <c r="O43" s="8">
        <f>SUBTOTAL(109,الجدول2[[ضريبة العمولة ]])</f>
        <v>76365.023913043493</v>
      </c>
      <c r="P43" s="8">
        <f>SUBTOTAL(109,الجدول2[[العمولة شاملة الضريبة ]])</f>
        <v>585465.18333333335</v>
      </c>
      <c r="Q43" s="8">
        <f>SUBTOTAL(109,الجدول2[[مكافاة البيع ]])</f>
        <v>68138</v>
      </c>
      <c r="R43" s="8">
        <f>SUBTOTAL(109,الجدول2[العمولة + مكافاة البيع])</f>
        <v>653603.18333333347</v>
      </c>
      <c r="S43" s="8">
        <f>SUBTOTAL(109,الجدول2[[المسدد من العمولة ]])</f>
        <v>414001.96111111116</v>
      </c>
      <c r="T43" s="8">
        <f>SUBTOTAL(109,الجدول2[المتبقي من العمولة])</f>
        <v>239601.22222222225</v>
      </c>
      <c r="U43" s="7"/>
      <c r="V43" s="8">
        <f>SUBTOTAL(109,الجدول2[تحصيل 4-2026 إيصال الى 70%])</f>
        <v>2410374.2000000002</v>
      </c>
      <c r="W43" s="8">
        <f>SUBTOTAL(109,الجدول2[تحصيل 6-2026 إيصال الى 85%])</f>
        <v>2639999.85</v>
      </c>
      <c r="X43" s="8">
        <f>SUBTOTAL(109,الجدول2[تحصيل 7-2026 إيصال الى 95%])</f>
        <v>1860097.9</v>
      </c>
      <c r="Y43" s="8">
        <f>SUBTOTAL(109,الجدول2[تحصيل 11-2026 إيصال الى 100%])</f>
        <v>1192806.2</v>
      </c>
      <c r="Z43" s="8">
        <f>SUBTOTAL(109,الجدول2[اجمالي الوحدة المحصلة])</f>
        <v>16047352.25</v>
      </c>
      <c r="AA43" s="8">
        <f>SUBTOTAL(109,الجدول2[[المتبقي ]])</f>
        <v>1463933.25</v>
      </c>
    </row>
    <row r="44" spans="1:27" x14ac:dyDescent="0.45">
      <c r="K44" s="12">
        <f>الجدول2[[#Totals],[إجمالي الدفعات المحصلة]]-J21</f>
        <v>7928624.0999999996</v>
      </c>
      <c r="R44" s="13"/>
      <c r="W44" s="12">
        <f>الجدول2[[#Totals],[تحصيل 4-2026 إيصال الى 70%]]*0.76</f>
        <v>1831884.3920000002</v>
      </c>
    </row>
    <row r="45" spans="1:27" x14ac:dyDescent="0.45">
      <c r="R45" s="13"/>
      <c r="U45" s="12">
        <f>الجدول2[[#Totals],[المتبقي من العمولة]]-186961</f>
        <v>52640.222222222248</v>
      </c>
      <c r="W45" s="12">
        <f>الجدول2[[#Totals],[تحصيل 4-2026 إيصال الى 70%]]*0.2</f>
        <v>482074.84000000008</v>
      </c>
    </row>
    <row r="46" spans="1:27" x14ac:dyDescent="0.45">
      <c r="V46">
        <f>الجدول2[[#Totals],[تحصيل 4-2026 إيصال الى 70%]]*0.96</f>
        <v>2313959.2320000003</v>
      </c>
      <c r="W46" s="12">
        <f>الجدول2[[#Totals],[تحصيل 4-2026 إيصال الى 70%]]*0.04</f>
        <v>96414.968000000008</v>
      </c>
    </row>
    <row r="47" spans="1:27" x14ac:dyDescent="0.45">
      <c r="W47" s="12">
        <f>SUM(W44:W46)</f>
        <v>2410374.2000000002</v>
      </c>
    </row>
    <row r="48" spans="1:27" x14ac:dyDescent="0.45">
      <c r="W48" s="12">
        <f>W47-الجدول2[[#Totals],[تحصيل 4-2026 إيصال الى 70%]]</f>
        <v>0</v>
      </c>
    </row>
    <row r="49" spans="7:22" x14ac:dyDescent="0.45">
      <c r="V49" s="59">
        <f>الجدول2[[#Totals],[تحصيل 4-2026 إيصال الى 70%]]*0.2</f>
        <v>482074.84000000008</v>
      </c>
    </row>
    <row r="50" spans="7:22" x14ac:dyDescent="0.45">
      <c r="V50" s="59">
        <f>الجدول2[[#Totals],[تحصيل 4-2026 إيصال الى 70%]]*0.5</f>
        <v>1205187.1000000001</v>
      </c>
    </row>
    <row r="51" spans="7:22" x14ac:dyDescent="0.45">
      <c r="G51" s="50">
        <v>497750</v>
      </c>
      <c r="H51" s="51">
        <v>1.0349999999999999</v>
      </c>
      <c r="N51" s="12">
        <f>G51/H51</f>
        <v>480917.87439613527</v>
      </c>
    </row>
  </sheetData>
  <phoneticPr fontId="5" type="noConversion"/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D01FC31-1DF0-4A54-AF0C-4A7DAD36AB8C}">
          <x14:formula1>
            <xm:f>'بيانات اساسية '!$I:$I</xm:f>
          </x14:formula1>
          <xm:sqref>U2:U42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8D4D-67F6-4B41-8D98-64B281A4FE3A}">
  <dimension ref="A1:I9"/>
  <sheetViews>
    <sheetView showGridLines="0" rightToLeft="1" workbookViewId="0">
      <selection activeCell="A7" sqref="A7"/>
    </sheetView>
  </sheetViews>
  <sheetFormatPr defaultColWidth="9" defaultRowHeight="18.399999999999999" x14ac:dyDescent="0.85"/>
  <cols>
    <col min="1" max="1" width="13" style="7" bestFit="1" customWidth="1"/>
    <col min="2" max="2" width="3.1328125" style="7" customWidth="1"/>
    <col min="3" max="3" width="11.86328125" style="7" bestFit="1" customWidth="1"/>
    <col min="4" max="4" width="13" style="7" bestFit="1" customWidth="1"/>
    <col min="5" max="6" width="11.86328125" style="7" bestFit="1" customWidth="1"/>
    <col min="7" max="7" width="11.73046875" style="7" bestFit="1" customWidth="1"/>
    <col min="8" max="8" width="13" style="7" bestFit="1" customWidth="1"/>
    <col min="9" max="9" width="10.265625" style="7" customWidth="1"/>
    <col min="10" max="16384" width="9" style="7"/>
  </cols>
  <sheetData>
    <row r="1" spans="1:9" x14ac:dyDescent="0.85">
      <c r="A1" s="40" t="s">
        <v>140</v>
      </c>
      <c r="B1" s="41"/>
      <c r="C1" s="40"/>
      <c r="D1" s="42">
        <v>46113</v>
      </c>
      <c r="E1" s="42">
        <v>46174</v>
      </c>
      <c r="F1" s="42">
        <v>46204</v>
      </c>
      <c r="G1" s="42">
        <v>46327</v>
      </c>
      <c r="H1" s="40"/>
      <c r="I1" s="40"/>
    </row>
    <row r="2" spans="1:9" x14ac:dyDescent="0.85">
      <c r="A2" s="40" t="s">
        <v>135</v>
      </c>
      <c r="B2" s="41"/>
      <c r="C2" s="40" t="s">
        <v>130</v>
      </c>
      <c r="D2" s="40" t="s">
        <v>131</v>
      </c>
      <c r="E2" s="40" t="s">
        <v>132</v>
      </c>
      <c r="F2" s="40" t="s">
        <v>133</v>
      </c>
      <c r="G2" s="40" t="s">
        <v>134</v>
      </c>
      <c r="H2" s="40" t="s">
        <v>136</v>
      </c>
      <c r="I2" s="40" t="s">
        <v>137</v>
      </c>
    </row>
    <row r="3" spans="1:9" x14ac:dyDescent="0.85">
      <c r="A3" s="48">
        <f>الجدول2[[#Totals],[قيمة الوحدة ]]</f>
        <v>15054819</v>
      </c>
      <c r="C3" s="39">
        <f>الجدول2[[#Totals],[إجمالي الدفعات المحصلة]]-C4</f>
        <v>8415474.0999999996</v>
      </c>
      <c r="D3" s="39">
        <f>الجدول2[[#Totals],[تحصيل 4-2026 إيصال الى 70%]]</f>
        <v>2410374.2000000002</v>
      </c>
      <c r="E3" s="39">
        <f>الجدول2[[#Totals],[تحصيل 6-2026 إيصال الى 85%]]</f>
        <v>2639999.85</v>
      </c>
      <c r="F3" s="39">
        <f>الجدول2[[#Totals],[تحصيل 7-2026 إيصال الى 95%]]</f>
        <v>1860097.9</v>
      </c>
      <c r="G3" s="39">
        <f>الجدول2[[#Totals],[تحصيل 11-2026 إيصال الى 100%]]</f>
        <v>1192806.2</v>
      </c>
      <c r="H3" s="39">
        <f>SUM(C3:G3)</f>
        <v>16518752.25</v>
      </c>
      <c r="I3" s="39">
        <f>H3-A3</f>
        <v>1463933.25</v>
      </c>
    </row>
    <row r="4" spans="1:9" x14ac:dyDescent="0.85">
      <c r="C4" s="8">
        <v>0</v>
      </c>
      <c r="D4" s="8"/>
      <c r="E4" s="8"/>
      <c r="F4" s="8"/>
      <c r="G4" s="8"/>
      <c r="H4" s="8"/>
    </row>
    <row r="5" spans="1:9" x14ac:dyDescent="0.85">
      <c r="A5" s="44" t="s">
        <v>138</v>
      </c>
      <c r="C5" s="37">
        <f>$C3*0.76</f>
        <v>6395760.3159999996</v>
      </c>
      <c r="D5" s="37">
        <f>D3*0.76</f>
        <v>1831884.3920000002</v>
      </c>
      <c r="E5" s="37">
        <f>E3*0.76</f>
        <v>2006399.8860000002</v>
      </c>
      <c r="F5" s="37">
        <f>F3*0.76</f>
        <v>1413674.4039999999</v>
      </c>
      <c r="G5" s="37">
        <f>G3*0.76</f>
        <v>906532.71199999994</v>
      </c>
      <c r="H5" s="37">
        <f>SUM(C5:G5)</f>
        <v>12554251.709999999</v>
      </c>
      <c r="I5" s="38"/>
    </row>
    <row r="6" spans="1:9" x14ac:dyDescent="0.85">
      <c r="A6" s="44" t="s">
        <v>139</v>
      </c>
      <c r="C6" s="37">
        <f>$C$3*0.2</f>
        <v>1683094.82</v>
      </c>
      <c r="D6" s="37">
        <f>D3*0.2</f>
        <v>482074.84000000008</v>
      </c>
      <c r="E6" s="37">
        <f>E3*0.2</f>
        <v>527999.97000000009</v>
      </c>
      <c r="F6" s="37">
        <f>F3*0.2</f>
        <v>372019.58</v>
      </c>
      <c r="G6" s="37">
        <f>G3*0.2</f>
        <v>238561.24</v>
      </c>
      <c r="H6" s="37">
        <f>SUM(C6:G6)</f>
        <v>3303750.45</v>
      </c>
      <c r="I6" s="38"/>
    </row>
    <row r="7" spans="1:9" x14ac:dyDescent="0.85">
      <c r="A7" s="44" t="s">
        <v>346</v>
      </c>
      <c r="C7" s="37">
        <f>C3*0.04</f>
        <v>336618.96399999998</v>
      </c>
      <c r="D7" s="37">
        <f>D3*0.04</f>
        <v>96414.968000000008</v>
      </c>
      <c r="E7" s="37">
        <f>E3*0.04</f>
        <v>105599.99400000001</v>
      </c>
      <c r="F7" s="37">
        <f>F3*0.04</f>
        <v>74403.915999999997</v>
      </c>
      <c r="G7" s="37">
        <f>G3*0.04</f>
        <v>47712.248</v>
      </c>
      <c r="H7" s="37">
        <f>SUM(C7:G7)</f>
        <v>660750.09</v>
      </c>
      <c r="I7" s="38"/>
    </row>
    <row r="8" spans="1:9" x14ac:dyDescent="0.85">
      <c r="A8" s="45" t="s">
        <v>143</v>
      </c>
      <c r="C8" s="46">
        <f t="shared" ref="C8:H8" si="0">SUM(C5:C7)</f>
        <v>8415474.0999999996</v>
      </c>
      <c r="D8" s="46">
        <f t="shared" si="0"/>
        <v>2410374.2000000002</v>
      </c>
      <c r="E8" s="46">
        <f t="shared" si="0"/>
        <v>2639999.85</v>
      </c>
      <c r="F8" s="46">
        <f t="shared" si="0"/>
        <v>1860097.9</v>
      </c>
      <c r="G8" s="46">
        <f t="shared" si="0"/>
        <v>1192806.2</v>
      </c>
      <c r="H8" s="46">
        <f t="shared" si="0"/>
        <v>16518752.25</v>
      </c>
      <c r="I8" s="47"/>
    </row>
    <row r="9" spans="1:9" x14ac:dyDescent="0.85">
      <c r="C9" s="8">
        <f t="shared" ref="C9:H9" si="1">C8-C3</f>
        <v>0</v>
      </c>
      <c r="D9" s="8">
        <f t="shared" si="1"/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3"/>
  <dimension ref="A1:I1"/>
  <sheetViews>
    <sheetView showGridLines="0" rightToLeft="1" workbookViewId="0">
      <selection activeCell="C1" sqref="C1"/>
    </sheetView>
  </sheetViews>
  <sheetFormatPr defaultRowHeight="14.25" x14ac:dyDescent="0.45"/>
  <cols>
    <col min="1" max="2" width="20" customWidth="1"/>
    <col min="3" max="3" width="20.59765625" customWidth="1"/>
    <col min="4" max="6" width="20" customWidth="1"/>
    <col min="7" max="7" width="20" hidden="1" customWidth="1"/>
    <col min="8" max="8" width="27" hidden="1" customWidth="1"/>
    <col min="9" max="9" width="21" hidden="1" customWidth="1"/>
  </cols>
  <sheetData>
    <row r="1" spans="1:9" x14ac:dyDescent="0.45">
      <c r="A1" s="1" t="s">
        <v>10</v>
      </c>
      <c r="B1" s="1" t="s">
        <v>11</v>
      </c>
      <c r="C1" s="1" t="s">
        <v>12</v>
      </c>
      <c r="D1" s="1" t="s">
        <v>79</v>
      </c>
      <c r="E1" s="1" t="s">
        <v>13</v>
      </c>
      <c r="F1" s="1" t="s">
        <v>78</v>
      </c>
      <c r="G1" s="1" t="s">
        <v>14</v>
      </c>
      <c r="H1" s="1" t="s">
        <v>15</v>
      </c>
      <c r="I1" s="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4"/>
  <dimension ref="A1:F62"/>
  <sheetViews>
    <sheetView showGridLines="0" rightToLeft="1" zoomScale="68" zoomScaleNormal="85" workbookViewId="0">
      <selection activeCell="E32" sqref="E32"/>
    </sheetView>
  </sheetViews>
  <sheetFormatPr defaultColWidth="9" defaultRowHeight="18.399999999999999" x14ac:dyDescent="0.85"/>
  <cols>
    <col min="1" max="1" width="11.86328125" style="9" bestFit="1" customWidth="1"/>
    <col min="2" max="2" width="11.46484375" style="7" bestFit="1" customWidth="1"/>
    <col min="3" max="3" width="12.3984375" style="30" bestFit="1" customWidth="1"/>
    <col min="4" max="4" width="12.1328125" style="8" bestFit="1" customWidth="1"/>
    <col min="5" max="5" width="124.1328125" style="9" bestFit="1" customWidth="1"/>
    <col min="6" max="6" width="14.3984375" style="9" bestFit="1" customWidth="1"/>
    <col min="7" max="16384" width="9" style="9"/>
  </cols>
  <sheetData>
    <row r="1" spans="1:6" x14ac:dyDescent="0.85">
      <c r="A1" s="56" t="s">
        <v>6</v>
      </c>
      <c r="B1" s="56" t="s">
        <v>7</v>
      </c>
      <c r="C1" s="57" t="s">
        <v>17</v>
      </c>
      <c r="D1" s="58" t="s">
        <v>62</v>
      </c>
      <c r="E1" s="56" t="s">
        <v>18</v>
      </c>
    </row>
    <row r="2" spans="1:6" x14ac:dyDescent="0.85">
      <c r="B2" s="7">
        <v>12</v>
      </c>
      <c r="C2" s="43" t="s">
        <v>36</v>
      </c>
      <c r="D2" s="50">
        <v>248500</v>
      </c>
      <c r="E2" s="10" t="s">
        <v>43</v>
      </c>
    </row>
    <row r="3" spans="1:6" x14ac:dyDescent="0.85">
      <c r="B3" s="7">
        <v>14</v>
      </c>
      <c r="C3" s="43" t="s">
        <v>36</v>
      </c>
      <c r="D3" s="50">
        <f>546000/2</f>
        <v>273000</v>
      </c>
      <c r="E3" s="10" t="s">
        <v>44</v>
      </c>
    </row>
    <row r="4" spans="1:6" x14ac:dyDescent="0.85">
      <c r="B4" s="7">
        <v>17</v>
      </c>
      <c r="C4" s="43">
        <v>46062</v>
      </c>
      <c r="D4" s="50">
        <f>546000/2</f>
        <v>273000</v>
      </c>
      <c r="E4" s="10" t="s">
        <v>156</v>
      </c>
    </row>
    <row r="5" spans="1:6" x14ac:dyDescent="0.85">
      <c r="B5" s="7">
        <v>18</v>
      </c>
      <c r="C5" s="43" t="s">
        <v>37</v>
      </c>
      <c r="D5" s="50">
        <v>245700</v>
      </c>
      <c r="E5" s="10" t="s">
        <v>45</v>
      </c>
    </row>
    <row r="6" spans="1:6" x14ac:dyDescent="0.85">
      <c r="B6" s="7">
        <v>25</v>
      </c>
      <c r="C6" s="43" t="s">
        <v>37</v>
      </c>
      <c r="D6" s="50">
        <v>280000</v>
      </c>
      <c r="E6" s="10" t="s">
        <v>46</v>
      </c>
    </row>
    <row r="7" spans="1:6" x14ac:dyDescent="0.85">
      <c r="B7" s="7">
        <v>30</v>
      </c>
      <c r="C7" s="43" t="s">
        <v>38</v>
      </c>
      <c r="D7" s="50">
        <v>294850</v>
      </c>
      <c r="E7" s="10" t="s">
        <v>47</v>
      </c>
    </row>
    <row r="8" spans="1:6" x14ac:dyDescent="0.85">
      <c r="B8" s="7">
        <v>31</v>
      </c>
      <c r="C8" s="43" t="s">
        <v>39</v>
      </c>
      <c r="D8" s="50">
        <v>294850</v>
      </c>
      <c r="E8" s="10" t="s">
        <v>48</v>
      </c>
      <c r="F8" s="18"/>
    </row>
    <row r="9" spans="1:6" x14ac:dyDescent="0.85">
      <c r="B9" s="7">
        <v>28</v>
      </c>
      <c r="C9" s="43" t="s">
        <v>40</v>
      </c>
      <c r="D9" s="50">
        <v>471400</v>
      </c>
      <c r="E9" s="10" t="s">
        <v>49</v>
      </c>
    </row>
    <row r="10" spans="1:6" x14ac:dyDescent="0.85">
      <c r="B10" s="7">
        <v>3</v>
      </c>
      <c r="C10" s="43" t="s">
        <v>41</v>
      </c>
      <c r="D10" s="50">
        <v>287325</v>
      </c>
      <c r="E10" s="10" t="s">
        <v>50</v>
      </c>
    </row>
    <row r="11" spans="1:6" x14ac:dyDescent="0.85">
      <c r="B11" s="7">
        <v>11</v>
      </c>
      <c r="C11" s="43" t="s">
        <v>41</v>
      </c>
      <c r="D11" s="50">
        <v>281843</v>
      </c>
      <c r="E11" s="10" t="s">
        <v>51</v>
      </c>
    </row>
    <row r="12" spans="1:6" x14ac:dyDescent="0.85">
      <c r="B12" s="7">
        <v>21</v>
      </c>
      <c r="C12" s="43" t="s">
        <v>41</v>
      </c>
      <c r="D12" s="50">
        <v>104200</v>
      </c>
      <c r="E12" s="10" t="s">
        <v>150</v>
      </c>
    </row>
    <row r="13" spans="1:6" x14ac:dyDescent="0.85">
      <c r="B13" s="7">
        <v>10</v>
      </c>
      <c r="C13" s="43" t="s">
        <v>42</v>
      </c>
      <c r="D13" s="50">
        <v>101470</v>
      </c>
      <c r="E13" s="10" t="s">
        <v>151</v>
      </c>
    </row>
    <row r="14" spans="1:6" x14ac:dyDescent="0.85">
      <c r="B14" s="7">
        <v>33</v>
      </c>
      <c r="C14" s="43" t="s">
        <v>66</v>
      </c>
      <c r="D14" s="50">
        <v>250000</v>
      </c>
      <c r="E14" s="10" t="s">
        <v>63</v>
      </c>
    </row>
    <row r="15" spans="1:6" x14ac:dyDescent="0.85">
      <c r="B15" s="7">
        <v>34</v>
      </c>
      <c r="C15" s="43" t="s">
        <v>66</v>
      </c>
      <c r="D15" s="50">
        <v>248875</v>
      </c>
      <c r="E15" s="10" t="s">
        <v>64</v>
      </c>
    </row>
    <row r="16" spans="1:6" x14ac:dyDescent="0.85">
      <c r="B16" s="7">
        <v>2</v>
      </c>
      <c r="C16" s="43" t="s">
        <v>67</v>
      </c>
      <c r="D16" s="50">
        <v>300000</v>
      </c>
      <c r="E16" s="10" t="s">
        <v>65</v>
      </c>
    </row>
    <row r="17" spans="2:5" x14ac:dyDescent="0.85">
      <c r="B17" s="7">
        <v>15</v>
      </c>
      <c r="C17" s="43" t="s">
        <v>85</v>
      </c>
      <c r="D17" s="50">
        <v>319400</v>
      </c>
      <c r="E17" s="10" t="s">
        <v>86</v>
      </c>
    </row>
    <row r="18" spans="2:5" x14ac:dyDescent="0.85">
      <c r="B18" s="7">
        <v>26</v>
      </c>
      <c r="C18" s="43" t="s">
        <v>85</v>
      </c>
      <c r="D18" s="50">
        <v>140600</v>
      </c>
      <c r="E18" s="10" t="s">
        <v>87</v>
      </c>
    </row>
    <row r="19" spans="2:5" x14ac:dyDescent="0.85">
      <c r="B19" s="7">
        <v>23</v>
      </c>
      <c r="C19" s="43" t="s">
        <v>88</v>
      </c>
      <c r="D19" s="50">
        <v>273000</v>
      </c>
      <c r="E19" s="10" t="s">
        <v>89</v>
      </c>
    </row>
    <row r="20" spans="2:5" x14ac:dyDescent="0.85">
      <c r="B20" s="7">
        <v>36</v>
      </c>
      <c r="C20" s="43" t="s">
        <v>88</v>
      </c>
      <c r="D20" s="50">
        <v>328500</v>
      </c>
      <c r="E20" s="10" t="s">
        <v>90</v>
      </c>
    </row>
    <row r="21" spans="2:5" x14ac:dyDescent="0.85">
      <c r="B21" s="7">
        <v>4</v>
      </c>
      <c r="C21" s="43" t="s">
        <v>88</v>
      </c>
      <c r="D21" s="50">
        <v>309935</v>
      </c>
      <c r="E21" s="10" t="s">
        <v>91</v>
      </c>
    </row>
    <row r="22" spans="2:5" x14ac:dyDescent="0.85">
      <c r="B22" s="7">
        <v>1</v>
      </c>
      <c r="C22" s="43" t="s">
        <v>144</v>
      </c>
      <c r="D22" s="50">
        <v>250000</v>
      </c>
      <c r="E22" s="10" t="s">
        <v>152</v>
      </c>
    </row>
    <row r="23" spans="2:5" x14ac:dyDescent="0.85">
      <c r="B23" s="7">
        <v>16</v>
      </c>
      <c r="C23" s="43" t="s">
        <v>145</v>
      </c>
      <c r="D23" s="50">
        <v>335370</v>
      </c>
      <c r="E23" s="10" t="s">
        <v>153</v>
      </c>
    </row>
    <row r="24" spans="2:5" x14ac:dyDescent="0.85">
      <c r="B24" s="7">
        <v>24</v>
      </c>
      <c r="C24" s="43" t="s">
        <v>146</v>
      </c>
      <c r="D24" s="50">
        <v>279825</v>
      </c>
      <c r="E24" s="10" t="s">
        <v>154</v>
      </c>
    </row>
    <row r="25" spans="2:5" x14ac:dyDescent="0.85">
      <c r="B25" s="7">
        <v>21</v>
      </c>
      <c r="C25" s="43" t="s">
        <v>147</v>
      </c>
      <c r="D25" s="50">
        <v>156300</v>
      </c>
      <c r="E25" s="10" t="s">
        <v>142</v>
      </c>
    </row>
    <row r="26" spans="2:5" x14ac:dyDescent="0.85">
      <c r="B26" s="7">
        <v>10</v>
      </c>
      <c r="C26" s="43" t="s">
        <v>148</v>
      </c>
      <c r="D26" s="50">
        <v>152205</v>
      </c>
      <c r="E26" s="10" t="s">
        <v>141</v>
      </c>
    </row>
    <row r="27" spans="2:5" x14ac:dyDescent="0.85">
      <c r="B27" s="7">
        <v>1</v>
      </c>
      <c r="C27" s="43" t="s">
        <v>149</v>
      </c>
      <c r="D27" s="50">
        <v>61260</v>
      </c>
      <c r="E27" s="10" t="s">
        <v>155</v>
      </c>
    </row>
    <row r="28" spans="2:5" x14ac:dyDescent="0.85">
      <c r="B28" s="7">
        <v>20</v>
      </c>
      <c r="C28" s="43"/>
      <c r="D28" s="50">
        <v>486850</v>
      </c>
      <c r="E28" s="52" t="s">
        <v>92</v>
      </c>
    </row>
    <row r="29" spans="2:5" x14ac:dyDescent="0.85">
      <c r="B29" s="7">
        <v>2</v>
      </c>
      <c r="C29" s="43" t="s">
        <v>175</v>
      </c>
      <c r="D29" s="50">
        <v>115543.1</v>
      </c>
      <c r="E29" s="10" t="s">
        <v>179</v>
      </c>
    </row>
    <row r="30" spans="2:5" x14ac:dyDescent="0.85">
      <c r="B30" s="7">
        <v>3</v>
      </c>
      <c r="C30" s="43" t="s">
        <v>175</v>
      </c>
      <c r="D30" s="50">
        <v>114930</v>
      </c>
      <c r="E30" s="10" t="s">
        <v>180</v>
      </c>
    </row>
    <row r="31" spans="2:5" x14ac:dyDescent="0.85">
      <c r="B31" s="7">
        <v>36</v>
      </c>
      <c r="C31" s="43" t="s">
        <v>176</v>
      </c>
      <c r="D31" s="50">
        <v>131400</v>
      </c>
      <c r="E31" s="10" t="s">
        <v>181</v>
      </c>
    </row>
    <row r="32" spans="2:5" x14ac:dyDescent="0.85">
      <c r="B32" s="7">
        <v>31</v>
      </c>
      <c r="C32" s="43" t="s">
        <v>177</v>
      </c>
      <c r="D32" s="50">
        <v>117940</v>
      </c>
      <c r="E32" s="10" t="s">
        <v>182</v>
      </c>
    </row>
    <row r="33" spans="2:5" x14ac:dyDescent="0.85">
      <c r="B33" s="7">
        <v>30</v>
      </c>
      <c r="C33" s="43" t="s">
        <v>177</v>
      </c>
      <c r="D33" s="50">
        <v>117940</v>
      </c>
      <c r="E33" s="10" t="s">
        <v>183</v>
      </c>
    </row>
    <row r="34" spans="2:5" x14ac:dyDescent="0.85">
      <c r="B34" s="7">
        <v>12</v>
      </c>
      <c r="C34" s="43" t="s">
        <v>178</v>
      </c>
      <c r="D34" s="50">
        <v>99400</v>
      </c>
      <c r="E34" s="10" t="s">
        <v>184</v>
      </c>
    </row>
    <row r="35" spans="2:5" x14ac:dyDescent="0.85">
      <c r="B35" s="7">
        <v>25</v>
      </c>
      <c r="C35" s="43">
        <v>46131</v>
      </c>
      <c r="D35" s="50">
        <v>111755</v>
      </c>
      <c r="E35" s="10" t="s">
        <v>186</v>
      </c>
    </row>
    <row r="36" spans="2:5" x14ac:dyDescent="0.85">
      <c r="B36" s="7">
        <v>16</v>
      </c>
      <c r="C36" s="43" t="s">
        <v>330</v>
      </c>
      <c r="D36" s="50">
        <v>134148</v>
      </c>
      <c r="E36" s="10" t="s">
        <v>341</v>
      </c>
    </row>
    <row r="37" spans="2:5" x14ac:dyDescent="0.85">
      <c r="B37" s="7">
        <v>35</v>
      </c>
      <c r="C37" s="43" t="s">
        <v>334</v>
      </c>
      <c r="D37" s="50">
        <v>296400</v>
      </c>
      <c r="E37" s="10" t="s">
        <v>342</v>
      </c>
    </row>
    <row r="38" spans="2:5" x14ac:dyDescent="0.85">
      <c r="B38" s="7">
        <v>15</v>
      </c>
      <c r="C38" s="43" t="s">
        <v>338</v>
      </c>
      <c r="D38" s="50">
        <v>127760</v>
      </c>
      <c r="E38" s="10" t="s">
        <v>343</v>
      </c>
    </row>
    <row r="39" spans="2:5" x14ac:dyDescent="0.85">
      <c r="C39" s="73"/>
      <c r="D39" s="74"/>
      <c r="E39" s="6"/>
    </row>
    <row r="40" spans="2:5" x14ac:dyDescent="0.85">
      <c r="C40" s="73"/>
      <c r="D40" s="74"/>
      <c r="E40" s="6"/>
    </row>
    <row r="41" spans="2:5" x14ac:dyDescent="0.85">
      <c r="D41" s="8">
        <f>SUBTOTAL(109,الجدول3[قيمة الدفعة])</f>
        <v>8415474.0999999996</v>
      </c>
      <c r="E41" s="6"/>
    </row>
    <row r="43" spans="2:5" x14ac:dyDescent="0.85">
      <c r="D43" s="8">
        <f>الجدول3[[#Totals],[قيمة الدفعة]]-D28</f>
        <v>7928624.0999999996</v>
      </c>
      <c r="E43" s="9" t="s">
        <v>185</v>
      </c>
    </row>
    <row r="44" spans="2:5" x14ac:dyDescent="0.85">
      <c r="C44" s="43"/>
      <c r="D44" s="10"/>
      <c r="E44" s="10"/>
    </row>
    <row r="45" spans="2:5" x14ac:dyDescent="0.85">
      <c r="C45" s="43"/>
      <c r="D45" s="10"/>
      <c r="E45" s="10"/>
    </row>
    <row r="46" spans="2:5" x14ac:dyDescent="0.85">
      <c r="C46" s="43"/>
      <c r="D46" s="10"/>
      <c r="E46" s="10"/>
    </row>
    <row r="47" spans="2:5" x14ac:dyDescent="0.85">
      <c r="C47" s="43"/>
      <c r="D47" s="10"/>
      <c r="E47" s="10"/>
    </row>
    <row r="48" spans="2:5" x14ac:dyDescent="0.85">
      <c r="C48" s="43"/>
      <c r="D48" s="10"/>
      <c r="E48" s="10"/>
    </row>
    <row r="49" spans="3:5" x14ac:dyDescent="0.85">
      <c r="C49" s="43"/>
      <c r="D49" s="10"/>
      <c r="E49" s="10"/>
    </row>
    <row r="50" spans="3:5" x14ac:dyDescent="0.85">
      <c r="C50" s="43"/>
      <c r="D50" s="10"/>
      <c r="E50" s="10"/>
    </row>
    <row r="51" spans="3:5" x14ac:dyDescent="0.85">
      <c r="C51" s="43"/>
      <c r="D51" s="10"/>
      <c r="E51" s="10"/>
    </row>
    <row r="52" spans="3:5" x14ac:dyDescent="0.85">
      <c r="C52" s="43"/>
      <c r="D52" s="10"/>
    </row>
    <row r="53" spans="3:5" x14ac:dyDescent="0.85">
      <c r="C53" s="43"/>
      <c r="D53" s="10"/>
      <c r="E53" s="10"/>
    </row>
    <row r="54" spans="3:5" x14ac:dyDescent="0.85">
      <c r="C54" s="43"/>
      <c r="D54" s="10"/>
      <c r="E54" s="10"/>
    </row>
    <row r="55" spans="3:5" x14ac:dyDescent="0.85">
      <c r="C55" s="43"/>
      <c r="D55" s="10"/>
      <c r="E55" s="10"/>
    </row>
    <row r="56" spans="3:5" x14ac:dyDescent="0.85">
      <c r="C56" s="43"/>
      <c r="D56" s="10"/>
      <c r="E56" s="10"/>
    </row>
    <row r="57" spans="3:5" x14ac:dyDescent="0.85">
      <c r="C57" s="43"/>
      <c r="D57" s="10"/>
      <c r="E57" s="10"/>
    </row>
    <row r="58" spans="3:5" x14ac:dyDescent="0.85">
      <c r="C58" s="43"/>
      <c r="D58" s="10"/>
      <c r="E58" s="10"/>
    </row>
    <row r="59" spans="3:5" x14ac:dyDescent="0.85">
      <c r="C59" s="43"/>
      <c r="D59" s="10"/>
      <c r="E59" s="10"/>
    </row>
    <row r="60" spans="3:5" x14ac:dyDescent="0.85">
      <c r="C60" s="43"/>
      <c r="D60" s="10"/>
      <c r="E60" s="10"/>
    </row>
    <row r="61" spans="3:5" x14ac:dyDescent="0.85">
      <c r="C61" s="43"/>
      <c r="D61" s="10"/>
      <c r="E61" s="10"/>
    </row>
    <row r="62" spans="3:5" x14ac:dyDescent="0.85">
      <c r="C62" s="43"/>
      <c r="D62" s="10"/>
      <c r="E62" s="10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ورقة6"/>
  <dimension ref="A1:G1"/>
  <sheetViews>
    <sheetView rightToLeft="1" workbookViewId="0">
      <selection activeCell="C3" sqref="C3"/>
    </sheetView>
  </sheetViews>
  <sheetFormatPr defaultRowHeight="14.25" x14ac:dyDescent="0.45"/>
  <cols>
    <col min="1" max="3" width="20" customWidth="1"/>
    <col min="4" max="4" width="22" customWidth="1"/>
    <col min="5" max="6" width="20" customWidth="1"/>
    <col min="7" max="7" width="27" customWidth="1"/>
  </cols>
  <sheetData>
    <row r="1" spans="1:7" x14ac:dyDescent="0.45">
      <c r="A1" s="1" t="s">
        <v>7</v>
      </c>
      <c r="B1" s="1" t="s">
        <v>6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I3"/>
  <sheetViews>
    <sheetView rightToLeft="1" topLeftCell="B1" zoomScale="130" zoomScaleNormal="130" workbookViewId="0">
      <selection activeCell="F3" sqref="F3"/>
    </sheetView>
  </sheetViews>
  <sheetFormatPr defaultRowHeight="14.25" x14ac:dyDescent="0.45"/>
  <cols>
    <col min="1" max="1" width="30.3984375" bestFit="1" customWidth="1"/>
    <col min="2" max="3" width="20" customWidth="1"/>
    <col min="4" max="4" width="21" customWidth="1"/>
    <col min="5" max="5" width="23" customWidth="1"/>
    <col min="6" max="6" width="28" customWidth="1"/>
  </cols>
  <sheetData>
    <row r="1" spans="1:9" s="3" customFormat="1" ht="24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3" t="s">
        <v>94</v>
      </c>
    </row>
    <row r="2" spans="1:9" x14ac:dyDescent="0.45">
      <c r="A2" t="s">
        <v>72</v>
      </c>
      <c r="C2" t="s">
        <v>26</v>
      </c>
      <c r="D2" s="4">
        <v>45809</v>
      </c>
      <c r="E2">
        <v>15</v>
      </c>
      <c r="F2" s="29">
        <v>0.56000000000000005</v>
      </c>
      <c r="I2" t="s">
        <v>95</v>
      </c>
    </row>
    <row r="3" spans="1:9" x14ac:dyDescent="0.45">
      <c r="I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بنك الضمان </vt:lpstr>
      <vt:lpstr>العملاء والوحدات</vt:lpstr>
      <vt:lpstr>توزيع التحصيل </vt:lpstr>
      <vt:lpstr>التكاليف والمصروفات</vt:lpstr>
      <vt:lpstr>الدفعات والتحصيل</vt:lpstr>
      <vt:lpstr>الإيرادات المعترف بها</vt:lpstr>
      <vt:lpstr>بيانات اساسية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osamah AL fifi</cp:lastModifiedBy>
  <dcterms:created xsi:type="dcterms:W3CDTF">2025-06-28T07:28:51Z</dcterms:created>
  <dcterms:modified xsi:type="dcterms:W3CDTF">2026-05-14T16:55:10Z</dcterms:modified>
</cp:coreProperties>
</file>